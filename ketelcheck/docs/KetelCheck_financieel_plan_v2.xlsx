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 mij" sheetId="1" state="visible" r:id="rId3"/>
    <sheet name="Inputs" sheetId="2" state="visible" r:id="rId4"/>
    <sheet name="Unit economics" sheetId="3" state="visible" r:id="rId5"/>
    <sheet name="Scenario's" sheetId="4" state="visible" r:id="rId6"/>
    <sheet name="12 maanden" sheetId="5" state="visible" r:id="rId7"/>
    <sheet name="Partnerwaarde" sheetId="6" state="visible" r:id="rId8"/>
    <sheet name="Gevoeligheid" sheetId="7" state="visible" r:id="rId9"/>
    <sheet name="Beslisdrempels" sheetId="8" state="visible" r:id="rId10"/>
    <sheet name="Testbudge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1 = voorzichtig, 2 = testhypothese, 3 = gunstig</t>
        </r>
      </text>
    </comment>
  </commentList>
</comments>
</file>

<file path=xl/sharedStrings.xml><?xml version="1.0" encoding="utf-8"?>
<sst xmlns="http://schemas.openxmlformats.org/spreadsheetml/2006/main" count="302" uniqueCount="240">
  <si>
    <t xml:space="preserve">KetelCheck — financieel plan v2 (startdienst: vervanging gasketel, Brussel + Vlaamse Rand)</t>
  </si>
  <si>
    <t xml:space="preserve">Versie 23-10-2026 · alle bedragen excl. btw · Marhaba Data &amp; AI Agent BV</t>
  </si>
  <si>
    <t xml:space="preserve">Wat is nieuw t.o.v. v1</t>
  </si>
  <si>
    <t xml:space="preserve">1. CPL is expliciet per FORMULIERINZENDING (inclusief ongeldige en dubbele). Kost per geldige en per betaalde aanvraag worden afgeleid.</t>
  </si>
  <si>
    <t xml:space="preserve">2. Trechter: inzending → geldig → aanvaard (1e of 2e partner, nooit beide) → gecrediteerd → gefactureerd → betaald (wanbetaling) → ontvangen 1 maand later.</t>
  </si>
  <si>
    <t xml:space="preserve">3. Elke aanvraag wordt maximaal ÉÉN keer verkocht. Een tweede partner krijgt ze enkel nadat de eerste weigerde of niet reageerde. Geen meervoudige verkoop in dit model.</t>
  </si>
  <si>
    <t xml:space="preserve">4. Alle eigen tijd apart: controle per inzending, afhandeling per aanvaarde, credits, partnerwerving (eenmalig per nieuwe partner + vervanging), facturatie per partner, ads-beheer, administratie, platformonderhoud.</t>
  </si>
  <si>
    <t xml:space="preserve">5. Twee resultaten: CASH (geldstromen, eigen tijd telt niet) en RESULTAAT NA EIGEN TIJD (uren × €75). Plus effectief uurloon.</t>
  </si>
  <si>
    <t xml:space="preserve">6. Tab 'Partnerwaarde': wat een aanvraag een installateur waard is (brutomarge × kans op opdracht) → onderbouwing van €60 / €80 / €90.</t>
  </si>
  <si>
    <t xml:space="preserve">7. Tab 'Beslisdrempels': doorgaan / bijsturen / stoppen.</t>
  </si>
  <si>
    <t xml:space="preserve">BELANGRIJK</t>
  </si>
  <si>
    <t xml:space="preserve">Blauwe cijfers zijn AANNAMES tenzij in kolom 'Bron' anders staat. €80–90 per aanvraag en €12–15 CPL zijn TESTHYPOTHESES, geen gemeten waarden.</t>
  </si>
  <si>
    <t xml:space="preserve">Vul 'Echt gemeten' in zodra je data hebt: die waarde overschrijft het scenario.</t>
  </si>
  <si>
    <t xml:space="preserve">Kleuren</t>
  </si>
  <si>
    <t xml:space="preserve">Blauw = invoer · Geel = sleutelaanname · Zwart = formule · Groen = verwijzing naar ander tabblad</t>
  </si>
  <si>
    <t xml:space="preserve">Btw</t>
  </si>
  <si>
    <t xml:space="preserve">Model volledig excl. btw. Marhaba BV rekent 21% btw aan partners (aftrekbaar voor hen) en recupereert btw op eigen kosten. Google Ads factureert vanuit Ierland met btw-verlegging. Btw-saldo is geen opbrengst of kost.</t>
  </si>
  <si>
    <t xml:space="preserve">Facturen aan Belgische btw-plichtige partners: gestructureerde e-factuur via Peppol, verplicht sinds 1/1/2026.</t>
  </si>
  <si>
    <t xml:space="preserve">Inputs en aannames</t>
  </si>
  <si>
    <t xml:space="preserve">Actief scenario (1, 2 of 3)</t>
  </si>
  <si>
    <t xml:space="preserve">Scenario-aanname</t>
  </si>
  <si>
    <t xml:space="preserve">Voorzichtig</t>
  </si>
  <si>
    <t xml:space="preserve">Testhypothese</t>
  </si>
  <si>
    <t xml:space="preserve">Gunstig</t>
  </si>
  <si>
    <t xml:space="preserve">Actief</t>
  </si>
  <si>
    <t xml:space="preserve">Echt gemeten</t>
  </si>
  <si>
    <t xml:space="preserve">Bron / hoe vaststellen</t>
  </si>
  <si>
    <t xml:space="preserve">Geldige inzendingen (% van alle inzendingen)</t>
  </si>
  <si>
    <t xml:space="preserve">AANNAME. Meten: aandeel dat je op 'gecontroleerd' zet. Ongeldig = dubbel, buiten regio/dienst, vals, onbereikbaar.</t>
  </si>
  <si>
    <t xml:space="preserve">Uiteindelijk aanvaard door 1e of 2e partner (% van geldige)</t>
  </si>
  <si>
    <t xml:space="preserve">AANNAME. Meten: Toewijzingen 'aanvaard' / geldige. Zakt bij volle agenda's (winter).</t>
  </si>
  <si>
    <t xml:space="preserve">Vergoeding per aanvaarde aanvraag (€ excl. btw)</t>
  </si>
  <si>
    <t xml:space="preserve">TESTHYPOTHESE. Onderbouwing in tab Partnerwaarde. Vaststellen: getekende pilots.</t>
  </si>
  <si>
    <t xml:space="preserve">Goedgekeurde credits (% van aanvaarde)</t>
  </si>
  <si>
    <t xml:space="preserve">AANNAME. Meten: gecrediteerd / aanvaard.</t>
  </si>
  <si>
    <t xml:space="preserve">Wanbetaling (% van gefactureerd)</t>
  </si>
  <si>
    <t xml:space="preserve">AANNAME. Meten: oninbaar / gefactureerd. Pilot met kleine bedragen = beperkt risico per partner.</t>
  </si>
  <si>
    <t xml:space="preserve">CPL: advertentiekost per formulierinzending (€)</t>
  </si>
  <si>
    <t xml:space="preserve">TESTHYPOTHESE. = ads-uitgaven / alle inzendingen (incl. ongeldig). Vaststellen: advertentietest.</t>
  </si>
  <si>
    <t xml:space="preserve">Controle per inzending (minuten)</t>
  </si>
  <si>
    <t xml:space="preserve">AANNAME. Lezen, eventueel kort bellen, status zetten, doorsturen.</t>
  </si>
  <si>
    <t xml:space="preserve">Afhandeling per aanvaarde aanvraag (minuten)</t>
  </si>
  <si>
    <t xml:space="preserve">AANNAME. Vragen van aanvrager/partner, opvolging.</t>
  </si>
  <si>
    <t xml:space="preserve">Behandeling per creditvraag (minuten)</t>
  </si>
  <si>
    <t xml:space="preserve">AANNAME. Bewijs opvragen, beslissen, mailen.</t>
  </si>
  <si>
    <t xml:space="preserve">Partnerwerving: uren per NIEUW getekende partner</t>
  </si>
  <si>
    <t xml:space="preserve">AANNAME. ±15–25 belpogingen + gesprek + onboarding per tekenende partner.</t>
  </si>
  <si>
    <t xml:space="preserve">Partnerverloop per maand (% partners te vervangen)</t>
  </si>
  <si>
    <t xml:space="preserve">AANNAME.</t>
  </si>
  <si>
    <t xml:space="preserve">Aanvaarde aanvragen per partner per maand (capaciteit)</t>
  </si>
  <si>
    <t xml:space="preserve">AANNAME. Vraag in elk partnergesprek; staat als max_per_week in de Sheet.</t>
  </si>
  <si>
    <t xml:space="preserve">Facturatie + opvolging per actieve partner (minuten/maand)</t>
  </si>
  <si>
    <t xml:space="preserve">AANNAME. Factuurvoorstel, Peppol-factuur, betalingsopvolging.</t>
  </si>
  <si>
    <t xml:space="preserve">Vaste uren/maand: ads-beheer</t>
  </si>
  <si>
    <t xml:space="preserve">Vaste uren/maand: administratie &amp; boekhouding</t>
  </si>
  <si>
    <t xml:space="preserve">Vaste uren/maand: platform- en dataonderhoud</t>
  </si>
  <si>
    <t xml:space="preserve">Software/tools (€/maand)</t>
  </si>
  <si>
    <t xml:space="preserve">AANNAME. Domein ±€1/m; Google gratis; Peppol-tool: €0 marginaal als Marhaba BV er al één heeft, anders €10–25/m. Te bevestigen.</t>
  </si>
  <si>
    <t xml:space="preserve">Algemene inputs</t>
  </si>
  <si>
    <t xml:space="preserve">Waarde</t>
  </si>
  <si>
    <t xml:space="preserve">Bron / uitleg</t>
  </si>
  <si>
    <t xml:space="preserve">Uurtarief eigen tijd (€/u)</t>
  </si>
  <si>
    <t xml:space="preserve">Gegeven door Mohamed.</t>
  </si>
  <si>
    <t xml:space="preserve">Betaalkosten (% van ontvangen)</t>
  </si>
  <si>
    <t xml:space="preserve">Eenmalige cash-opstart (€)</t>
  </si>
  <si>
    <t xml:space="preserve">Domein, mailbox; zie Testbudget.</t>
  </si>
  <si>
    <t xml:space="preserve">Eenmalige tijd: deploy, teksten, tests in echte omgeving (uren)</t>
  </si>
  <si>
    <t xml:space="preserve">AANNAME (onbewezen): 2–4 u deploy + 2 u echte end-to-end test.</t>
  </si>
  <si>
    <t xml:space="preserve">Werkdagen per maand</t>
  </si>
  <si>
    <t xml:space="preserve">Voor 'minuten per werkdag'.</t>
  </si>
  <si>
    <t xml:space="preserve">Doelresultaat per uur eigen tijd (€)</t>
  </si>
  <si>
    <t xml:space="preserve">Keuze: wat je tijd moet opbrengen om door te gaan.</t>
  </si>
  <si>
    <t xml:space="preserve">Startbudget-plafond (€)</t>
  </si>
  <si>
    <t xml:space="preserve">Validatietest extern budget (€)</t>
  </si>
  <si>
    <t xml:space="preserve">Maandmodel — actief scenario</t>
  </si>
  <si>
    <t xml:space="preserve">Inzendingen per maand →</t>
  </si>
  <si>
    <t xml:space="preserve">Regel</t>
  </si>
  <si>
    <t xml:space="preserve">Volume 1</t>
  </si>
  <si>
    <t xml:space="preserve">Volume 2</t>
  </si>
  <si>
    <t xml:space="preserve">Volume 3</t>
  </si>
  <si>
    <t xml:space="preserve">Formulierinzendingen</t>
  </si>
  <si>
    <t xml:space="preserve">Geldige inzendingen</t>
  </si>
  <si>
    <t xml:space="preserve">Aanvaarde aanvragen (max. 1 verkoop per aanvraag)</t>
  </si>
  <si>
    <t xml:space="preserve">Gecrediteerd (aantal)</t>
  </si>
  <si>
    <t xml:space="preserve">Gefactureerd (aantal)</t>
  </si>
  <si>
    <t xml:space="preserve">Omzet (gefactureerd)</t>
  </si>
  <si>
    <t xml:space="preserve">Wanbetaling</t>
  </si>
  <si>
    <t xml:space="preserve">Betaalkosten</t>
  </si>
  <si>
    <t xml:space="preserve">Advertenties (CPL × inzendingen)</t>
  </si>
  <si>
    <t xml:space="preserve">Software/tools</t>
  </si>
  <si>
    <t xml:space="preserve">CASHRESULTAAT (zonder eigen tijd)</t>
  </si>
  <si>
    <t xml:space="preserve">Benodigde actieve partners</t>
  </si>
  <si>
    <t xml:space="preserve">Uren: controle inzendingen</t>
  </si>
  <si>
    <t xml:space="preserve">Uren: afhandeling aanvaarde</t>
  </si>
  <si>
    <t xml:space="preserve">Uren: creditvragen</t>
  </si>
  <si>
    <t xml:space="preserve">Uren: facturatie per partner</t>
  </si>
  <si>
    <t xml:space="preserve">Uren: partnerwerving (verloop vervangen)</t>
  </si>
  <si>
    <t xml:space="preserve">Uren: ads, administratie, platform</t>
  </si>
  <si>
    <t xml:space="preserve">Totaal uren eigen tijd per maand</t>
  </si>
  <si>
    <t xml:space="preserve">Minuten per werkdag</t>
  </si>
  <si>
    <t xml:space="preserve">Eigen tijd à uurtarief</t>
  </si>
  <si>
    <t xml:space="preserve">RESULTAAT NA EIGEN TIJD</t>
  </si>
  <si>
    <t xml:space="preserve">Effectief uurloon (cashresultaat / uren)</t>
  </si>
  <si>
    <t xml:space="preserve">Advertentiekost per geldige aanvraag</t>
  </si>
  <si>
    <t xml:space="preserve">Advertentiekost per gefactureerde aanvraag</t>
  </si>
  <si>
    <t xml:space="preserve">Drempels (actief scenario)</t>
  </si>
  <si>
    <t xml:space="preserve">Cash-bijdrage per inzending vóór ads</t>
  </si>
  <si>
    <t xml:space="preserve">Variabele tijdkost per inzending (controle, afhandeling, credits, werving, facturatie)</t>
  </si>
  <si>
    <t xml:space="preserve">Vaste kosten per maand (vaste uren × tarief + software)</t>
  </si>
  <si>
    <t xml:space="preserve">Max. CPL voor CASH break-even (vaste uren niet betaald)</t>
  </si>
  <si>
    <t xml:space="preserve">Max. CPL voor break-even NA eigen tijd à uurtarief</t>
  </si>
  <si>
    <t xml:space="preserve">Elke inzending kost CPL, ook als ze ongeldig is.</t>
  </si>
  <si>
    <t xml:space="preserve">Inzendingen/maand nodig voor €0 na eigen tijd (bij actieve CPL)</t>
  </si>
  <si>
    <t xml:space="preserve">Inzendingen/maand nodig voor €1.000 na eigen tijd</t>
  </si>
  <si>
    <t xml:space="preserve">Inzendingen/maand nodig voor €3.000 na eigen tijd</t>
  </si>
  <si>
    <t xml:space="preserve">Partners nodig bij €3.000-volume</t>
  </si>
  <si>
    <t xml:space="preserve">Alle scenario's naast elkaar (kolommen C/D/E van Inputs, niet 'Echt gemeten')</t>
  </si>
  <si>
    <t xml:space="preserve">Voorz. 20</t>
  </si>
  <si>
    <t xml:space="preserve">Voorz. 50</t>
  </si>
  <si>
    <t xml:space="preserve">Voorz. 100</t>
  </si>
  <si>
    <t xml:space="preserve">Test 20</t>
  </si>
  <si>
    <t xml:space="preserve">Test 50</t>
  </si>
  <si>
    <t xml:space="preserve">Test 100</t>
  </si>
  <si>
    <t xml:space="preserve">Gunstig 20</t>
  </si>
  <si>
    <t xml:space="preserve">Gunstig 50</t>
  </si>
  <si>
    <t xml:space="preserve">Gunstig 100</t>
  </si>
  <si>
    <t xml:space="preserve">12-maandenplan — actief scenario</t>
  </si>
  <si>
    <t xml:space="preserve">nov-26</t>
  </si>
  <si>
    <t xml:space="preserve">dec-26</t>
  </si>
  <si>
    <t xml:space="preserve">jan-27</t>
  </si>
  <si>
    <t xml:space="preserve">feb-27</t>
  </si>
  <si>
    <t xml:space="preserve">mrt-27</t>
  </si>
  <si>
    <t xml:space="preserve">apr-27</t>
  </si>
  <si>
    <t xml:space="preserve">mei-27</t>
  </si>
  <si>
    <t xml:space="preserve">jun-27</t>
  </si>
  <si>
    <t xml:space="preserve">jul-27</t>
  </si>
  <si>
    <t xml:space="preserve">aug-27</t>
  </si>
  <si>
    <t xml:space="preserve">sep-27</t>
  </si>
  <si>
    <t xml:space="preserve">okt-27</t>
  </si>
  <si>
    <t xml:space="preserve">Totaal</t>
  </si>
  <si>
    <t xml:space="preserve">Nieuwe partners te werven (groei)</t>
  </si>
  <si>
    <t xml:space="preserve">Uren: werving nieuwe partners</t>
  </si>
  <si>
    <t xml:space="preserve">Eenmalige opstart (cash)</t>
  </si>
  <si>
    <t xml:space="preserve">Eenmalige tijd (uren)</t>
  </si>
  <si>
    <t xml:space="preserve">CASHRESULTAAT incl. groei en opstart</t>
  </si>
  <si>
    <t xml:space="preserve">RESULTAAT NA EIGEN TIJD incl. groei en opstart</t>
  </si>
  <si>
    <t xml:space="preserve">Cumulatief resultaat na eigen tijd</t>
  </si>
  <si>
    <t xml:space="preserve">CASH: ontvangen van partners (vorige maand)</t>
  </si>
  <si>
    <t xml:space="preserve">CASH: uitgaven (ads, software, opstart)</t>
  </si>
  <si>
    <t xml:space="preserve">CASH: netto maand</t>
  </si>
  <si>
    <t xml:space="preserve">CASH: cumulatief</t>
  </si>
  <si>
    <t xml:space="preserve">Grootste kapitaalbehoefte tot nu</t>
  </si>
  <si>
    <t xml:space="preserve">Binnen startbudget-plafond?</t>
  </si>
  <si>
    <t xml:space="preserve">Cash: facturen van maand M worden in M+1 ontvangen. Omzet van okt-27 valt buiten dit venster. Totaal-uurloon in kolom O telt ook werving en opstarttijd mee.</t>
  </si>
  <si>
    <t xml:space="preserve">Wat is één aanvaarde aanvraag waard voor een installateur?</t>
  </si>
  <si>
    <t xml:space="preserve">Onderbouwing voor de vraagprijs per aanvraag. Alles AANNAME behalve waar een bron staat.</t>
  </si>
  <si>
    <t xml:space="preserve">Aanname</t>
  </si>
  <si>
    <t xml:space="preserve">Laag</t>
  </si>
  <si>
    <t xml:space="preserve">Midden</t>
  </si>
  <si>
    <t xml:space="preserve">Hoog</t>
  </si>
  <si>
    <t xml:space="preserve">Bron / toelichting</t>
  </si>
  <si>
    <t xml:space="preserve">Prijs vervanging gasketel geïnstalleerd (€ excl. btw)</t>
  </si>
  <si>
    <t xml:space="preserve">Bron: Trustup prijsgids 2026, condensatieketel geplaatst €3.000–6.000 HTVA (blog.trustup.be). Midden = aanname.</t>
  </si>
  <si>
    <t xml:space="preserve">Dekkingsbijdrage installateur (% van prijs, na materiaal en directe arbeid)</t>
  </si>
  <si>
    <t xml:space="preserve">AANNAME. Niet publiek gevonden. Vraag in partnergesprek: 'wat houd je over op een gemiddelde vervanging?'.</t>
  </si>
  <si>
    <t xml:space="preserve">Kans dat een aanvaarde aanvraag een opdracht wordt</t>
  </si>
  <si>
    <t xml:space="preserve">AANNAME. Aanvrager heeft vaak al een offerte → prijsconcurrentie. Meten na pilot: partner rapporteert gewonnen/verloren.</t>
  </si>
  <si>
    <t xml:space="preserve">Deel van verwachte marge dat installateur aan klantwerving wil uitgeven</t>
  </si>
  <si>
    <t xml:space="preserve">AANNAME. Vraag: 'hoeveel mag een nieuwe vervangingsklant je kosten?'.</t>
  </si>
  <si>
    <t xml:space="preserve">Dekkingsbijdrage per gewonnen opdracht (€)</t>
  </si>
  <si>
    <t xml:space="preserve">Verwachte dekkingsbijdrage per aanvaarde aanvraag (€)</t>
  </si>
  <si>
    <t xml:space="preserve">→ Redelijke maximumprijs per aanvaarde aanvraag (€)</t>
  </si>
  <si>
    <t xml:space="preserve">Partner-ROI bij €80 (verwachte bijdrage / prijs)</t>
  </si>
  <si>
    <t xml:space="preserve">Benodigde winkans per vraagprijs (bij midden-prijs en midden-marge)</t>
  </si>
  <si>
    <t xml:space="preserve">€60</t>
  </si>
  <si>
    <t xml:space="preserve">€80</t>
  </si>
  <si>
    <t xml:space="preserve">€90</t>
  </si>
  <si>
    <t xml:space="preserve">Minimale winkans opdat prijs ≤ wervingsbudget</t>
  </si>
  <si>
    <t xml:space="preserve">Lezing: €60 vraagt ±17% winkans, €80 ±23%, €90 ±26% (midden-aannames). Onder ~15% winkans is €60 al te duur.</t>
  </si>
  <si>
    <t xml:space="preserve">Vergelijkingspunt (anekdotisch): Solvari-reviews vermelden ~€20 en ~€45 per GEDEELDE lead (meerdere installateurs). Exclusief + met bestaande offerte rechtvaardigt een hogere prijs enkel als de winkans hoger ligt.</t>
  </si>
  <si>
    <t xml:space="preserve">Extra waarde niet meegeteld: onderhoudsklant nadien (gas 2-jaarlijks, ±€100–170 per beurt excl. btw — bronnen Test-Aankoop / Bobex).</t>
  </si>
  <si>
    <t xml:space="preserve">Resultaat NA eigen tijd per maand — vergoeding × CPL</t>
  </si>
  <si>
    <t xml:space="preserve">Overige parameters: actief scenario. CPL per inzending.</t>
  </si>
  <si>
    <t xml:space="preserve">Inzendingen per maand</t>
  </si>
  <si>
    <t xml:space="preserve">CPL ↓ / vergoeding →</t>
  </si>
  <si>
    <t xml:space="preserve">Groen = winst na €75/u eigen tijd. Zoek de cel met je gemeten CPL en de prijs uit je getekende pilots.</t>
  </si>
  <si>
    <t xml:space="preserve">Doorgaan / bijsturen / stoppen</t>
  </si>
  <si>
    <t xml:space="preserve">Beoordelen na de pilot: minstens 20 geldige aanvragen of 45 dagen, wat eerst komt. Kleine aantallen: lees als richting, niet als vast cijfer.</t>
  </si>
  <si>
    <t xml:space="preserve">Meetpunt</t>
  </si>
  <si>
    <t xml:space="preserve">DOORGAAN</t>
  </si>
  <si>
    <t xml:space="preserve">BIJSTUREN</t>
  </si>
  <si>
    <t xml:space="preserve">STOPPEN</t>
  </si>
  <si>
    <t xml:space="preserve">Gemeten</t>
  </si>
  <si>
    <t xml:space="preserve">Oordeel</t>
  </si>
  <si>
    <t xml:space="preserve">Getekende pilots (≥ €60, startregio gedekt)</t>
  </si>
  <si>
    <t xml:space="preserve">≥ 3 en ≥ 2 aan ≥ €80</t>
  </si>
  <si>
    <t xml:space="preserve">3 maar enkel aan €60–79</t>
  </si>
  <si>
    <t xml:space="preserve">&lt; 3 na 40 belpogingen</t>
  </si>
  <si>
    <t xml:space="preserve">Vergoeding per aanvaarde aanvraag (gewogen gem.)</t>
  </si>
  <si>
    <t xml:space="preserve">≥ €80</t>
  </si>
  <si>
    <t xml:space="preserve">€60–79</t>
  </si>
  <si>
    <t xml:space="preserve">&lt; €60</t>
  </si>
  <si>
    <t xml:space="preserve">CPL per formulierinzending</t>
  </si>
  <si>
    <t xml:space="preserve">≤ €15</t>
  </si>
  <si>
    <t xml:space="preserve">€15–25</t>
  </si>
  <si>
    <t xml:space="preserve">&gt; €25 na ≥ €600 ads</t>
  </si>
  <si>
    <t xml:space="preserve">≥ 65%</t>
  </si>
  <si>
    <t xml:space="preserve">50–65%</t>
  </si>
  <si>
    <t xml:space="preserve">&lt; 50%</t>
  </si>
  <si>
    <t xml:space="preserve">Aanvaard door 1e of 2e partner</t>
  </si>
  <si>
    <t xml:space="preserve">≥ 75%</t>
  </si>
  <si>
    <t xml:space="preserve">50–75%</t>
  </si>
  <si>
    <t xml:space="preserve">Goedgekeurde credits</t>
  </si>
  <si>
    <t xml:space="preserve">≤ 10%</t>
  </si>
  <si>
    <t xml:space="preserve">10–20%</t>
  </si>
  <si>
    <t xml:space="preserve">&gt; 20%</t>
  </si>
  <si>
    <t xml:space="preserve">Herhaalaankoop: partner koopt na pilot verder</t>
  </si>
  <si>
    <t xml:space="preserve">≥ 2 partners</t>
  </si>
  <si>
    <t xml:space="preserve">1 partner</t>
  </si>
  <si>
    <t xml:space="preserve">0 partners</t>
  </si>
  <si>
    <t xml:space="preserve">Modelresultaat na eigen tijd bij 50 inzendingen/m (met gemeten waarden)</t>
  </si>
  <si>
    <t xml:space="preserve">&gt; €0</t>
  </si>
  <si>
    <t xml:space="preserve">−€500 tot €0</t>
  </si>
  <si>
    <t xml:space="preserve">&lt; −€500</t>
  </si>
  <si>
    <t xml:space="preserve">Regel: één 'stoppen' op pilots, vergoeding of CPL = stoppen of fundamenteel herzien. Overige 'stoppen' = eerst bijsturen, opnieuw meten na 20 aanvragen.</t>
  </si>
  <si>
    <t xml:space="preserve">Modelregel: vul gemeten waarden in tab Inputs (kolom 'Echt gemeten') en lees Unit economics kolom D (50 inzendingen).</t>
  </si>
  <si>
    <t xml:space="preserve">Validatietest — externe uitgaven (niets uitgeven zonder akkoord Mohamed)</t>
  </si>
  <si>
    <t xml:space="preserve">Post</t>
  </si>
  <si>
    <t xml:space="preserve">Bedrag</t>
  </si>
  <si>
    <t xml:space="preserve">Voorwaarde</t>
  </si>
  <si>
    <t xml:space="preserve">Google Ads NL (Vlaamse Rand)</t>
  </si>
  <si>
    <t xml:space="preserve">Enkel na ≥ 3 getekende pilots en akkoord</t>
  </si>
  <si>
    <t xml:space="preserve">Google Ads FR (Brussel)</t>
  </si>
  <si>
    <t xml:space="preserve">Idem; Brussel is grotendeels Franstalig</t>
  </si>
  <si>
    <t xml:space="preserve">Reserve winnende taal</t>
  </si>
  <si>
    <t xml:space="preserve">Enkel als CPL ≤ €25 na eerste €400</t>
  </si>
  <si>
    <t xml:space="preserve">Domein + mailbox</t>
  </si>
  <si>
    <t xml:space="preserve">Bv. domein ±€10–15/jaar + professionele mailbox; te bevestigen</t>
  </si>
  <si>
    <t xml:space="preserve">Buffer</t>
  </si>
  <si>
    <t xml:space="preserve">Binnen testplafond?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</si>
</sst>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;\(0.0%\);\-"/>
    <numFmt numFmtId="166" formatCode="\€#,##0;&quot;(€&quot;#,##0\);\-"/>
    <numFmt numFmtId="167" formatCode="#,##0;\(#,##0\);\-"/>
    <numFmt numFmtId="168" formatCode="#,##0.0;\(#,##0.0\);\-"/>
    <numFmt numFmtId="169" formatCode="\€#,##0.00;&quot;(€&quot;#,##0.00\);\-"/>
    <numFmt numFmtId="170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5C4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</font>
    </dxf>
    <dxf>
      <fill>
        <patternFill>
          <bgColor rgb="FFF8D7D3"/>
        </patternFill>
      </fill>
    </dxf>
    <dxf>
      <fill>
        <patternFill>
          <bgColor rgb="FFD6EFD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DD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F5C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7" min="3" style="0" width="14"/>
    <col collapsed="false" customWidth="true" hidden="false" outlineLevel="0" max="8" min="8" style="0" width="80"/>
  </cols>
  <sheetData>
    <row r="1" customFormat="false" ht="17.35" hidden="false" customHeight="false" outlineLevel="0" collapsed="false">
      <c r="B1" s="1" t="s">
        <v>18</v>
      </c>
    </row>
    <row r="3" customFormat="false" ht="15" hidden="false" customHeight="false" outlineLevel="0" collapsed="false">
      <c r="B3" s="3" t="s">
        <v>19</v>
      </c>
      <c r="C3" s="4" t="n">
        <v>2</v>
      </c>
      <c r="D3" s="2" t="str">
        <f aca="false">INDEX(C5:E5,1,C3)</f>
        <v>Testhypothese</v>
      </c>
    </row>
    <row r="5" customFormat="false" ht="26.85" hidden="false" customHeight="false" outlineLevel="0" collapsed="false"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</row>
    <row r="6" customFormat="false" ht="26.85" hidden="false" customHeight="false" outlineLevel="0" collapsed="false">
      <c r="B6" s="2" t="s">
        <v>27</v>
      </c>
      <c r="C6" s="6" t="n">
        <v>0.55</v>
      </c>
      <c r="D6" s="6" t="n">
        <v>0.65</v>
      </c>
      <c r="E6" s="6" t="n">
        <v>0.75</v>
      </c>
      <c r="F6" s="7" t="n">
        <f aca="false">IF(ISNUMBER(G6),G6,INDEX(C6:E6,1,$C$3))</f>
        <v>0.65</v>
      </c>
      <c r="G6" s="6"/>
      <c r="H6" s="8" t="s">
        <v>28</v>
      </c>
    </row>
    <row r="7" customFormat="false" ht="15" hidden="false" customHeight="false" outlineLevel="0" collapsed="false">
      <c r="B7" s="2" t="s">
        <v>29</v>
      </c>
      <c r="C7" s="6" t="n">
        <v>0.65</v>
      </c>
      <c r="D7" s="6" t="n">
        <v>0.8</v>
      </c>
      <c r="E7" s="6" t="n">
        <v>0.9</v>
      </c>
      <c r="F7" s="7" t="n">
        <f aca="false">IF(ISNUMBER(G7),G7,INDEX(C7:E7,1,$C$3))</f>
        <v>0.8</v>
      </c>
      <c r="G7" s="6"/>
      <c r="H7" s="8" t="s">
        <v>30</v>
      </c>
    </row>
    <row r="8" customFormat="false" ht="26.85" hidden="false" customHeight="false" outlineLevel="0" collapsed="false">
      <c r="B8" s="2" t="s">
        <v>31</v>
      </c>
      <c r="C8" s="9" t="n">
        <v>60</v>
      </c>
      <c r="D8" s="9" t="n">
        <v>80</v>
      </c>
      <c r="E8" s="9" t="n">
        <v>90</v>
      </c>
      <c r="F8" s="10" t="n">
        <f aca="false">IF(ISNUMBER(G8),G8,INDEX(C8:E8,1,$C$3))</f>
        <v>80</v>
      </c>
      <c r="G8" s="11"/>
      <c r="H8" s="8" t="s">
        <v>32</v>
      </c>
    </row>
    <row r="9" customFormat="false" ht="15" hidden="false" customHeight="false" outlineLevel="0" collapsed="false">
      <c r="B9" s="2" t="s">
        <v>33</v>
      </c>
      <c r="C9" s="6" t="n">
        <v>0.12</v>
      </c>
      <c r="D9" s="6" t="n">
        <v>0.08</v>
      </c>
      <c r="E9" s="6" t="n">
        <v>0.05</v>
      </c>
      <c r="F9" s="7" t="n">
        <f aca="false">IF(ISNUMBER(G9),G9,INDEX(C9:E9,1,$C$3))</f>
        <v>0.08</v>
      </c>
      <c r="G9" s="6"/>
      <c r="H9" s="8" t="s">
        <v>34</v>
      </c>
    </row>
    <row r="10" customFormat="false" ht="26.85" hidden="false" customHeight="false" outlineLevel="0" collapsed="false">
      <c r="B10" s="2" t="s">
        <v>35</v>
      </c>
      <c r="C10" s="6" t="n">
        <v>0.05</v>
      </c>
      <c r="D10" s="6" t="n">
        <v>0.03</v>
      </c>
      <c r="E10" s="6" t="n">
        <v>0.01</v>
      </c>
      <c r="F10" s="7" t="n">
        <f aca="false">IF(ISNUMBER(G10),G10,INDEX(C10:E10,1,$C$3))</f>
        <v>0.03</v>
      </c>
      <c r="G10" s="6"/>
      <c r="H10" s="8" t="s">
        <v>36</v>
      </c>
    </row>
    <row r="11" customFormat="false" ht="26.85" hidden="false" customHeight="false" outlineLevel="0" collapsed="false">
      <c r="B11" s="2" t="s">
        <v>37</v>
      </c>
      <c r="C11" s="9" t="n">
        <v>22</v>
      </c>
      <c r="D11" s="9" t="n">
        <v>15</v>
      </c>
      <c r="E11" s="9" t="n">
        <v>12</v>
      </c>
      <c r="F11" s="10" t="n">
        <f aca="false">IF(ISNUMBER(G11),G11,INDEX(C11:E11,1,$C$3))</f>
        <v>15</v>
      </c>
      <c r="G11" s="11"/>
      <c r="H11" s="8" t="s">
        <v>38</v>
      </c>
    </row>
    <row r="12" customFormat="false" ht="15" hidden="false" customHeight="false" outlineLevel="0" collapsed="false">
      <c r="B12" s="2" t="s">
        <v>39</v>
      </c>
      <c r="C12" s="12" t="n">
        <v>10</v>
      </c>
      <c r="D12" s="12" t="n">
        <v>7</v>
      </c>
      <c r="E12" s="12" t="n">
        <v>5</v>
      </c>
      <c r="F12" s="13" t="n">
        <f aca="false">IF(ISNUMBER(G12),G12,INDEX(C12:E12,1,$C$3))</f>
        <v>7</v>
      </c>
      <c r="G12" s="12"/>
      <c r="H12" s="8" t="s">
        <v>40</v>
      </c>
    </row>
    <row r="13" customFormat="false" ht="15" hidden="false" customHeight="false" outlineLevel="0" collapsed="false">
      <c r="B13" s="2" t="s">
        <v>41</v>
      </c>
      <c r="C13" s="12" t="n">
        <v>10</v>
      </c>
      <c r="D13" s="12" t="n">
        <v>6</v>
      </c>
      <c r="E13" s="12" t="n">
        <v>4</v>
      </c>
      <c r="F13" s="13" t="n">
        <f aca="false">IF(ISNUMBER(G13),G13,INDEX(C13:E13,1,$C$3))</f>
        <v>6</v>
      </c>
      <c r="G13" s="12"/>
      <c r="H13" s="8" t="s">
        <v>42</v>
      </c>
    </row>
    <row r="14" customFormat="false" ht="15" hidden="false" customHeight="false" outlineLevel="0" collapsed="false">
      <c r="B14" s="2" t="s">
        <v>43</v>
      </c>
      <c r="C14" s="12" t="n">
        <v>20</v>
      </c>
      <c r="D14" s="12" t="n">
        <v>15</v>
      </c>
      <c r="E14" s="12" t="n">
        <v>10</v>
      </c>
      <c r="F14" s="13" t="n">
        <f aca="false">IF(ISNUMBER(G14),G14,INDEX(C14:E14,1,$C$3))</f>
        <v>15</v>
      </c>
      <c r="G14" s="12"/>
      <c r="H14" s="8" t="s">
        <v>44</v>
      </c>
    </row>
    <row r="15" customFormat="false" ht="15" hidden="false" customHeight="false" outlineLevel="0" collapsed="false">
      <c r="B15" s="2" t="s">
        <v>45</v>
      </c>
      <c r="C15" s="14" t="n">
        <v>6</v>
      </c>
      <c r="D15" s="14" t="n">
        <v>4</v>
      </c>
      <c r="E15" s="14" t="n">
        <v>3</v>
      </c>
      <c r="F15" s="15" t="n">
        <f aca="false">IF(ISNUMBER(G15),G15,INDEX(C15:E15,1,$C$3))</f>
        <v>4</v>
      </c>
      <c r="G15" s="14"/>
      <c r="H15" s="8" t="s">
        <v>46</v>
      </c>
    </row>
    <row r="16" customFormat="false" ht="15" hidden="false" customHeight="false" outlineLevel="0" collapsed="false">
      <c r="B16" s="2" t="s">
        <v>47</v>
      </c>
      <c r="C16" s="6" t="n">
        <v>0.1</v>
      </c>
      <c r="D16" s="6" t="n">
        <v>0.07</v>
      </c>
      <c r="E16" s="6" t="n">
        <v>0.05</v>
      </c>
      <c r="F16" s="7" t="n">
        <f aca="false">IF(ISNUMBER(G16),G16,INDEX(C16:E16,1,$C$3))</f>
        <v>0.07</v>
      </c>
      <c r="G16" s="6"/>
      <c r="H16" s="8" t="s">
        <v>48</v>
      </c>
    </row>
    <row r="17" customFormat="false" ht="15" hidden="false" customHeight="false" outlineLevel="0" collapsed="false">
      <c r="B17" s="2" t="s">
        <v>49</v>
      </c>
      <c r="C17" s="12" t="n">
        <v>4</v>
      </c>
      <c r="D17" s="12" t="n">
        <v>6</v>
      </c>
      <c r="E17" s="12" t="n">
        <v>8</v>
      </c>
      <c r="F17" s="13" t="n">
        <f aca="false">IF(ISNUMBER(G17),G17,INDEX(C17:E17,1,$C$3))</f>
        <v>6</v>
      </c>
      <c r="G17" s="12"/>
      <c r="H17" s="8" t="s">
        <v>50</v>
      </c>
    </row>
    <row r="18" customFormat="false" ht="15" hidden="false" customHeight="false" outlineLevel="0" collapsed="false">
      <c r="B18" s="2" t="s">
        <v>51</v>
      </c>
      <c r="C18" s="12" t="n">
        <v>30</v>
      </c>
      <c r="D18" s="12" t="n">
        <v>20</v>
      </c>
      <c r="E18" s="12" t="n">
        <v>15</v>
      </c>
      <c r="F18" s="13" t="n">
        <f aca="false">IF(ISNUMBER(G18),G18,INDEX(C18:E18,1,$C$3))</f>
        <v>20</v>
      </c>
      <c r="G18" s="12"/>
      <c r="H18" s="8" t="s">
        <v>52</v>
      </c>
    </row>
    <row r="19" customFormat="false" ht="15" hidden="false" customHeight="false" outlineLevel="0" collapsed="false">
      <c r="B19" s="2" t="s">
        <v>53</v>
      </c>
      <c r="C19" s="14" t="n">
        <v>6</v>
      </c>
      <c r="D19" s="14" t="n">
        <v>4</v>
      </c>
      <c r="E19" s="14" t="n">
        <v>3</v>
      </c>
      <c r="F19" s="15" t="n">
        <f aca="false">IF(ISNUMBER(G19),G19,INDEX(C19:E19,1,$C$3))</f>
        <v>4</v>
      </c>
      <c r="G19" s="14"/>
      <c r="H19" s="8" t="s">
        <v>48</v>
      </c>
    </row>
    <row r="20" customFormat="false" ht="15" hidden="false" customHeight="false" outlineLevel="0" collapsed="false">
      <c r="B20" s="2" t="s">
        <v>54</v>
      </c>
      <c r="C20" s="14" t="n">
        <v>3</v>
      </c>
      <c r="D20" s="14" t="n">
        <v>2</v>
      </c>
      <c r="E20" s="14" t="n">
        <v>1.5</v>
      </c>
      <c r="F20" s="15" t="n">
        <f aca="false">IF(ISNUMBER(G20),G20,INDEX(C20:E20,1,$C$3))</f>
        <v>2</v>
      </c>
      <c r="G20" s="14"/>
      <c r="H20" s="8" t="s">
        <v>48</v>
      </c>
    </row>
    <row r="21" customFormat="false" ht="15" hidden="false" customHeight="false" outlineLevel="0" collapsed="false">
      <c r="B21" s="2" t="s">
        <v>55</v>
      </c>
      <c r="C21" s="14" t="n">
        <v>3</v>
      </c>
      <c r="D21" s="14" t="n">
        <v>2</v>
      </c>
      <c r="E21" s="14" t="n">
        <v>1</v>
      </c>
      <c r="F21" s="15" t="n">
        <f aca="false">IF(ISNUMBER(G21),G21,INDEX(C21:E21,1,$C$3))</f>
        <v>2</v>
      </c>
      <c r="G21" s="14"/>
      <c r="H21" s="8" t="s">
        <v>48</v>
      </c>
    </row>
    <row r="22" customFormat="false" ht="26.85" hidden="false" customHeight="false" outlineLevel="0" collapsed="false">
      <c r="B22" s="2" t="s">
        <v>56</v>
      </c>
      <c r="C22" s="11" t="n">
        <v>25</v>
      </c>
      <c r="D22" s="11" t="n">
        <v>15</v>
      </c>
      <c r="E22" s="11" t="n">
        <v>10</v>
      </c>
      <c r="F22" s="10" t="n">
        <f aca="false">IF(ISNUMBER(G22),G22,INDEX(C22:E22,1,$C$3))</f>
        <v>15</v>
      </c>
      <c r="G22" s="11"/>
      <c r="H22" s="8" t="s">
        <v>57</v>
      </c>
    </row>
    <row r="24" customFormat="false" ht="15" hidden="false" customHeight="false" outlineLevel="0" collapsed="false">
      <c r="B24" s="5" t="s">
        <v>58</v>
      </c>
      <c r="C24" s="5" t="s">
        <v>59</v>
      </c>
      <c r="D24" s="5"/>
      <c r="E24" s="5"/>
      <c r="F24" s="5"/>
      <c r="G24" s="5"/>
      <c r="H24" s="5" t="s">
        <v>60</v>
      </c>
    </row>
    <row r="25" customFormat="false" ht="15" hidden="false" customHeight="false" outlineLevel="0" collapsed="false">
      <c r="B25" s="2" t="s">
        <v>61</v>
      </c>
      <c r="C25" s="9" t="n">
        <v>75</v>
      </c>
      <c r="H25" s="8" t="s">
        <v>62</v>
      </c>
    </row>
    <row r="26" customFormat="false" ht="15" hidden="false" customHeight="false" outlineLevel="0" collapsed="false">
      <c r="B26" s="2" t="s">
        <v>63</v>
      </c>
      <c r="C26" s="6" t="n">
        <v>0.01</v>
      </c>
      <c r="H26" s="8" t="s">
        <v>48</v>
      </c>
    </row>
    <row r="27" customFormat="false" ht="15" hidden="false" customHeight="false" outlineLevel="0" collapsed="false">
      <c r="B27" s="2" t="s">
        <v>64</v>
      </c>
      <c r="C27" s="11" t="n">
        <v>70</v>
      </c>
      <c r="H27" s="8" t="s">
        <v>65</v>
      </c>
    </row>
    <row r="28" customFormat="false" ht="15" hidden="false" customHeight="false" outlineLevel="0" collapsed="false">
      <c r="B28" s="2" t="s">
        <v>66</v>
      </c>
      <c r="C28" s="14" t="n">
        <v>6</v>
      </c>
      <c r="H28" s="8" t="s">
        <v>67</v>
      </c>
    </row>
    <row r="29" customFormat="false" ht="15" hidden="false" customHeight="false" outlineLevel="0" collapsed="false">
      <c r="B29" s="2" t="s">
        <v>68</v>
      </c>
      <c r="C29" s="12" t="n">
        <v>21</v>
      </c>
      <c r="H29" s="8" t="s">
        <v>69</v>
      </c>
    </row>
    <row r="30" customFormat="false" ht="15" hidden="false" customHeight="false" outlineLevel="0" collapsed="false">
      <c r="B30" s="2" t="s">
        <v>70</v>
      </c>
      <c r="C30" s="11" t="n">
        <v>75</v>
      </c>
      <c r="H30" s="8" t="s">
        <v>71</v>
      </c>
    </row>
    <row r="31" customFormat="false" ht="15" hidden="false" customHeight="false" outlineLevel="0" collapsed="false">
      <c r="B31" s="2" t="s">
        <v>72</v>
      </c>
      <c r="C31" s="11" t="n">
        <v>10000</v>
      </c>
      <c r="H31" s="8" t="s">
        <v>62</v>
      </c>
    </row>
    <row r="32" customFormat="false" ht="15" hidden="false" customHeight="false" outlineLevel="0" collapsed="false">
      <c r="B32" s="2" t="s">
        <v>73</v>
      </c>
      <c r="C32" s="11" t="n">
        <v>1000</v>
      </c>
      <c r="H32" s="8" t="s">
        <v>62</v>
      </c>
    </row>
  </sheetData>
  <dataValidations count="1">
    <dataValidation allowBlank="false" errorStyle="stop" operator="between" showDropDown="false" showErrorMessage="false" showInputMessage="false" sqref="C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60"/>
  </cols>
  <sheetData>
    <row r="1" customFormat="false" ht="17.35" hidden="false" customHeight="false" outlineLevel="0" collapsed="false">
      <c r="B1" s="1" t="s">
        <v>74</v>
      </c>
    </row>
    <row r="2" customFormat="false" ht="15" hidden="false" customHeight="false" outlineLevel="0" collapsed="false">
      <c r="B2" s="16" t="str">
        <f aca="false">"Scenario: "&amp;Inputs!D3&amp;" · inzendingen per maand in rij 5 aanpasbaar"</f>
        <v>Scenario: Testhypothese · inzendingen per maand in rij 5 aanpasbaar</v>
      </c>
    </row>
    <row r="3" customFormat="false" ht="15" hidden="false" customHeight="false" outlineLevel="0" collapsed="false">
      <c r="B3" s="3" t="s">
        <v>75</v>
      </c>
      <c r="C3" s="17" t="n">
        <v>20</v>
      </c>
      <c r="D3" s="17" t="n">
        <v>50</v>
      </c>
      <c r="E3" s="17" t="n">
        <v>100</v>
      </c>
    </row>
    <row r="4" customFormat="false" ht="15" hidden="false" customHeight="false" outlineLevel="0" collapsed="false">
      <c r="B4" s="5" t="s">
        <v>76</v>
      </c>
      <c r="C4" s="5" t="s">
        <v>77</v>
      </c>
      <c r="D4" s="5" t="s">
        <v>78</v>
      </c>
      <c r="E4" s="5" t="s">
        <v>79</v>
      </c>
    </row>
    <row r="5" customFormat="false" ht="15" hidden="false" customHeight="false" outlineLevel="0" collapsed="false">
      <c r="B5" s="2" t="s">
        <v>80</v>
      </c>
      <c r="C5" s="13" t="n">
        <f aca="false">C3</f>
        <v>20</v>
      </c>
      <c r="D5" s="13" t="n">
        <f aca="false">D3</f>
        <v>50</v>
      </c>
      <c r="E5" s="13" t="n">
        <f aca="false">E3</f>
        <v>100</v>
      </c>
    </row>
    <row r="6" customFormat="false" ht="15" hidden="false" customHeight="false" outlineLevel="0" collapsed="false">
      <c r="B6" s="2" t="s">
        <v>81</v>
      </c>
      <c r="C6" s="15" t="n">
        <f aca="false">C5*Inputs!$F$6</f>
        <v>13</v>
      </c>
      <c r="D6" s="15" t="n">
        <f aca="false">D5*Inputs!$F$6</f>
        <v>32.5</v>
      </c>
      <c r="E6" s="15" t="n">
        <f aca="false">E5*Inputs!$F$6</f>
        <v>65</v>
      </c>
    </row>
    <row r="7" customFormat="false" ht="15" hidden="false" customHeight="false" outlineLevel="0" collapsed="false">
      <c r="B7" s="2" t="s">
        <v>82</v>
      </c>
      <c r="C7" s="15" t="n">
        <f aca="false">C6*Inputs!$F$7</f>
        <v>10.4</v>
      </c>
      <c r="D7" s="15" t="n">
        <f aca="false">D6*Inputs!$F$7</f>
        <v>26</v>
      </c>
      <c r="E7" s="15" t="n">
        <f aca="false">E6*Inputs!$F$7</f>
        <v>52</v>
      </c>
    </row>
    <row r="8" customFormat="false" ht="15" hidden="false" customHeight="false" outlineLevel="0" collapsed="false">
      <c r="B8" s="2" t="s">
        <v>83</v>
      </c>
      <c r="C8" s="15" t="n">
        <f aca="false">C7*Inputs!$F$9</f>
        <v>0.832</v>
      </c>
      <c r="D8" s="15" t="n">
        <f aca="false">D7*Inputs!$F$9</f>
        <v>2.08</v>
      </c>
      <c r="E8" s="15" t="n">
        <f aca="false">E7*Inputs!$F$9</f>
        <v>4.16</v>
      </c>
    </row>
    <row r="9" customFormat="false" ht="15" hidden="false" customHeight="false" outlineLevel="0" collapsed="false">
      <c r="B9" s="2" t="s">
        <v>84</v>
      </c>
      <c r="C9" s="15" t="n">
        <f aca="false">C7-C8</f>
        <v>9.568</v>
      </c>
      <c r="D9" s="15" t="n">
        <f aca="false">D7-D8</f>
        <v>23.92</v>
      </c>
      <c r="E9" s="15" t="n">
        <f aca="false">E7-E8</f>
        <v>47.84</v>
      </c>
    </row>
    <row r="10" customFormat="false" ht="15" hidden="false" customHeight="false" outlineLevel="0" collapsed="false">
      <c r="B10" s="2" t="s">
        <v>85</v>
      </c>
      <c r="C10" s="10" t="n">
        <f aca="false">C9*Inputs!$F$8</f>
        <v>765.44</v>
      </c>
      <c r="D10" s="10" t="n">
        <f aca="false">D9*Inputs!$F$8</f>
        <v>1913.6</v>
      </c>
      <c r="E10" s="10" t="n">
        <f aca="false">E9*Inputs!$F$8</f>
        <v>3827.2</v>
      </c>
    </row>
    <row r="11" customFormat="false" ht="15" hidden="false" customHeight="false" outlineLevel="0" collapsed="false">
      <c r="B11" s="2" t="s">
        <v>86</v>
      </c>
      <c r="C11" s="10" t="n">
        <f aca="false">-C10*Inputs!$F$10</f>
        <v>-22.9632</v>
      </c>
      <c r="D11" s="10" t="n">
        <f aca="false">-D10*Inputs!$F$10</f>
        <v>-57.408</v>
      </c>
      <c r="E11" s="10" t="n">
        <f aca="false">-E10*Inputs!$F$10</f>
        <v>-114.816</v>
      </c>
    </row>
    <row r="12" customFormat="false" ht="15" hidden="false" customHeight="false" outlineLevel="0" collapsed="false">
      <c r="B12" s="2" t="s">
        <v>87</v>
      </c>
      <c r="C12" s="10" t="n">
        <f aca="false">-(C10+C11)*Inputs!$C$26</f>
        <v>-7.424768</v>
      </c>
      <c r="D12" s="10" t="n">
        <f aca="false">-(D10+D11)*Inputs!$C$26</f>
        <v>-18.56192</v>
      </c>
      <c r="E12" s="10" t="n">
        <f aca="false">-(E10+E11)*Inputs!$C$26</f>
        <v>-37.12384</v>
      </c>
    </row>
    <row r="13" customFormat="false" ht="15" hidden="false" customHeight="false" outlineLevel="0" collapsed="false">
      <c r="B13" s="2" t="s">
        <v>88</v>
      </c>
      <c r="C13" s="10" t="n">
        <f aca="false">-C5*Inputs!$F$11</f>
        <v>-300</v>
      </c>
      <c r="D13" s="10" t="n">
        <f aca="false">-D5*Inputs!$F$11</f>
        <v>-750</v>
      </c>
      <c r="E13" s="10" t="n">
        <f aca="false">-E5*Inputs!$F$11</f>
        <v>-1500</v>
      </c>
    </row>
    <row r="14" customFormat="false" ht="15" hidden="false" customHeight="false" outlineLevel="0" collapsed="false">
      <c r="B14" s="2" t="s">
        <v>89</v>
      </c>
      <c r="C14" s="10" t="n">
        <f aca="false">-Inputs!$F$22</f>
        <v>-15</v>
      </c>
      <c r="D14" s="10" t="n">
        <f aca="false">-Inputs!$F$22</f>
        <v>-15</v>
      </c>
      <c r="E14" s="10" t="n">
        <f aca="false">-Inputs!$F$22</f>
        <v>-15</v>
      </c>
    </row>
    <row r="15" customFormat="false" ht="15" hidden="false" customHeight="false" outlineLevel="0" collapsed="false">
      <c r="B15" s="3" t="s">
        <v>90</v>
      </c>
      <c r="C15" s="18" t="n">
        <f aca="false">SUM(C10:C14)</f>
        <v>420.052032</v>
      </c>
      <c r="D15" s="18" t="n">
        <f aca="false">SUM(D10:D14)</f>
        <v>1072.63008</v>
      </c>
      <c r="E15" s="18" t="n">
        <f aca="false">SUM(E10:E14)</f>
        <v>2160.26016</v>
      </c>
    </row>
    <row r="16" customFormat="false" ht="15" hidden="false" customHeight="false" outlineLevel="0" collapsed="false">
      <c r="B16" s="2" t="s">
        <v>91</v>
      </c>
      <c r="C16" s="13" t="n">
        <f aca="false">IF(Inputs!$F$17&gt;0,ROUNDUP(C7/Inputs!$F$17,0),0)</f>
        <v>2</v>
      </c>
      <c r="D16" s="13" t="n">
        <f aca="false">IF(Inputs!$F$17&gt;0,ROUNDUP(D7/Inputs!$F$17,0),0)</f>
        <v>5</v>
      </c>
      <c r="E16" s="13" t="n">
        <f aca="false">IF(Inputs!$F$17&gt;0,ROUNDUP(E7/Inputs!$F$17,0),0)</f>
        <v>9</v>
      </c>
    </row>
    <row r="17" customFormat="false" ht="15" hidden="false" customHeight="false" outlineLevel="0" collapsed="false">
      <c r="B17" s="2" t="s">
        <v>92</v>
      </c>
      <c r="C17" s="15" t="n">
        <f aca="false">C5*Inputs!$F$12/60</f>
        <v>2.33333333333333</v>
      </c>
      <c r="D17" s="15" t="n">
        <f aca="false">D5*Inputs!$F$12/60</f>
        <v>5.83333333333333</v>
      </c>
      <c r="E17" s="15" t="n">
        <f aca="false">E5*Inputs!$F$12/60</f>
        <v>11.6666666666667</v>
      </c>
    </row>
    <row r="18" customFormat="false" ht="15" hidden="false" customHeight="false" outlineLevel="0" collapsed="false">
      <c r="B18" s="2" t="s">
        <v>93</v>
      </c>
      <c r="C18" s="15" t="n">
        <f aca="false">C7*Inputs!$F$13/60</f>
        <v>1.04</v>
      </c>
      <c r="D18" s="15" t="n">
        <f aca="false">D7*Inputs!$F$13/60</f>
        <v>2.6</v>
      </c>
      <c r="E18" s="15" t="n">
        <f aca="false">E7*Inputs!$F$13/60</f>
        <v>5.2</v>
      </c>
    </row>
    <row r="19" customFormat="false" ht="15" hidden="false" customHeight="false" outlineLevel="0" collapsed="false">
      <c r="B19" s="2" t="s">
        <v>94</v>
      </c>
      <c r="C19" s="15" t="n">
        <f aca="false">C8*Inputs!$F$14/60</f>
        <v>0.208</v>
      </c>
      <c r="D19" s="15" t="n">
        <f aca="false">D8*Inputs!$F$14/60</f>
        <v>0.52</v>
      </c>
      <c r="E19" s="15" t="n">
        <f aca="false">E8*Inputs!$F$14/60</f>
        <v>1.04</v>
      </c>
    </row>
    <row r="20" customFormat="false" ht="15" hidden="false" customHeight="false" outlineLevel="0" collapsed="false">
      <c r="B20" s="2" t="s">
        <v>95</v>
      </c>
      <c r="C20" s="15" t="n">
        <f aca="false">C16*Inputs!$F$18/60</f>
        <v>0.666666666666667</v>
      </c>
      <c r="D20" s="15" t="n">
        <f aca="false">D16*Inputs!$F$18/60</f>
        <v>1.66666666666667</v>
      </c>
      <c r="E20" s="15" t="n">
        <f aca="false">E16*Inputs!$F$18/60</f>
        <v>3</v>
      </c>
    </row>
    <row r="21" customFormat="false" ht="15" hidden="false" customHeight="false" outlineLevel="0" collapsed="false">
      <c r="B21" s="2" t="s">
        <v>96</v>
      </c>
      <c r="C21" s="15" t="n">
        <f aca="false">C16*Inputs!$F$16*Inputs!$F$15</f>
        <v>0.56</v>
      </c>
      <c r="D21" s="15" t="n">
        <f aca="false">D16*Inputs!$F$16*Inputs!$F$15</f>
        <v>1.4</v>
      </c>
      <c r="E21" s="15" t="n">
        <f aca="false">E16*Inputs!$F$16*Inputs!$F$15</f>
        <v>2.52</v>
      </c>
    </row>
    <row r="22" customFormat="false" ht="15" hidden="false" customHeight="false" outlineLevel="0" collapsed="false">
      <c r="B22" s="2" t="s">
        <v>97</v>
      </c>
      <c r="C22" s="15" t="n">
        <f aca="false">Inputs!$F$19+Inputs!$F$20+Inputs!$F$21</f>
        <v>8</v>
      </c>
      <c r="D22" s="15" t="n">
        <f aca="false">Inputs!$F$19+Inputs!$F$20+Inputs!$F$21</f>
        <v>8</v>
      </c>
      <c r="E22" s="15" t="n">
        <f aca="false">Inputs!$F$19+Inputs!$F$20+Inputs!$F$21</f>
        <v>8</v>
      </c>
    </row>
    <row r="23" customFormat="false" ht="15" hidden="false" customHeight="false" outlineLevel="0" collapsed="false">
      <c r="B23" s="3" t="s">
        <v>98</v>
      </c>
      <c r="C23" s="15" t="n">
        <f aca="false">SUM(C17:C22)</f>
        <v>12.808</v>
      </c>
      <c r="D23" s="15" t="n">
        <f aca="false">SUM(D17:D22)</f>
        <v>20.02</v>
      </c>
      <c r="E23" s="15" t="n">
        <f aca="false">SUM(E17:E22)</f>
        <v>31.4266666666667</v>
      </c>
    </row>
    <row r="24" customFormat="false" ht="15" hidden="false" customHeight="false" outlineLevel="0" collapsed="false">
      <c r="B24" s="2" t="s">
        <v>99</v>
      </c>
      <c r="C24" s="13" t="n">
        <f aca="false">C23*60/Inputs!$C$29</f>
        <v>36.5942857142857</v>
      </c>
      <c r="D24" s="13" t="n">
        <f aca="false">D23*60/Inputs!$C$29</f>
        <v>57.2</v>
      </c>
      <c r="E24" s="13" t="n">
        <f aca="false">E23*60/Inputs!$C$29</f>
        <v>89.7904761904762</v>
      </c>
    </row>
    <row r="25" customFormat="false" ht="15" hidden="false" customHeight="false" outlineLevel="0" collapsed="false">
      <c r="B25" s="2" t="s">
        <v>100</v>
      </c>
      <c r="C25" s="10" t="n">
        <f aca="false">-C23*Inputs!$C$25</f>
        <v>-960.6</v>
      </c>
      <c r="D25" s="10" t="n">
        <f aca="false">-D23*Inputs!$C$25</f>
        <v>-1501.5</v>
      </c>
      <c r="E25" s="10" t="n">
        <f aca="false">-E23*Inputs!$C$25</f>
        <v>-2357</v>
      </c>
    </row>
    <row r="26" customFormat="false" ht="15" hidden="false" customHeight="false" outlineLevel="0" collapsed="false">
      <c r="B26" s="3" t="s">
        <v>101</v>
      </c>
      <c r="C26" s="18" t="n">
        <f aca="false">C15+C25</f>
        <v>-540.547968</v>
      </c>
      <c r="D26" s="18" t="n">
        <f aca="false">D15+D25</f>
        <v>-428.86992</v>
      </c>
      <c r="E26" s="18" t="n">
        <f aca="false">E15+E25</f>
        <v>-196.73984</v>
      </c>
    </row>
    <row r="27" customFormat="false" ht="15" hidden="false" customHeight="false" outlineLevel="0" collapsed="false">
      <c r="B27" s="2" t="s">
        <v>102</v>
      </c>
      <c r="C27" s="19" t="n">
        <f aca="false">IF(C23&gt;0,C15/C23,0)</f>
        <v>32.7960674578388</v>
      </c>
      <c r="D27" s="19" t="n">
        <f aca="false">IF(D23&gt;0,D15/D23,0)</f>
        <v>53.5779260739261</v>
      </c>
      <c r="E27" s="19" t="n">
        <f aca="false">IF(E23&gt;0,E15/E23,0)</f>
        <v>68.7397165888842</v>
      </c>
    </row>
    <row r="28" customFormat="false" ht="15" hidden="false" customHeight="false" outlineLevel="0" collapsed="false">
      <c r="B28" s="2" t="s">
        <v>103</v>
      </c>
      <c r="C28" s="19" t="n">
        <f aca="false">IF(C6&gt;0,-C13/C6,0)</f>
        <v>23.0769230769231</v>
      </c>
      <c r="D28" s="19" t="n">
        <f aca="false">IF(D6&gt;0,-D13/D6,0)</f>
        <v>23.0769230769231</v>
      </c>
      <c r="E28" s="19" t="n">
        <f aca="false">IF(E6&gt;0,-E13/E6,0)</f>
        <v>23.0769230769231</v>
      </c>
    </row>
    <row r="29" customFormat="false" ht="15" hidden="false" customHeight="false" outlineLevel="0" collapsed="false">
      <c r="B29" s="2" t="s">
        <v>104</v>
      </c>
      <c r="C29" s="19" t="n">
        <f aca="false">IF(C9&gt;0,-C13/C9,0)</f>
        <v>31.3545150501672</v>
      </c>
      <c r="D29" s="19" t="n">
        <f aca="false">IF(D9&gt;0,-D13/D9,0)</f>
        <v>31.3545150501672</v>
      </c>
      <c r="E29" s="19" t="n">
        <f aca="false">IF(E9&gt;0,-E13/E9,0)</f>
        <v>31.3545150501672</v>
      </c>
    </row>
    <row r="31" customFormat="false" ht="15" hidden="false" customHeight="false" outlineLevel="0" collapsed="false">
      <c r="B31" s="5" t="s">
        <v>105</v>
      </c>
      <c r="C31" s="5"/>
      <c r="D31" s="5"/>
      <c r="E31" s="5"/>
    </row>
    <row r="32" customFormat="false" ht="15" hidden="false" customHeight="false" outlineLevel="0" collapsed="false">
      <c r="B32" s="2" t="s">
        <v>106</v>
      </c>
      <c r="C32" s="19" t="n">
        <f aca="false">Inputs!$F$6*Inputs!$F$7*(1-Inputs!$F$9)*Inputs!$F$8*(1-Inputs!$F$10)*(1-Inputs!$C$26)</f>
        <v>36.7526016</v>
      </c>
    </row>
    <row r="33" customFormat="false" ht="15" hidden="false" customHeight="false" outlineLevel="0" collapsed="false">
      <c r="B33" s="2" t="s">
        <v>107</v>
      </c>
      <c r="C33" s="19" t="n">
        <f aca="false">(Inputs!$F$12/60+Inputs!$F$6*Inputs!$F$7*(Inputs!$F$13/60+Inputs!$F$9*Inputs!$F$14/60+IF(Inputs!$F$17&gt;0,1/Inputs!$F$17,0)*(Inputs!$F$18/60+Inputs!$F$16*Inputs!$F$15)))*Inputs!$C$25</f>
        <v>17.4166666666667</v>
      </c>
    </row>
    <row r="34" customFormat="false" ht="15" hidden="false" customHeight="false" outlineLevel="0" collapsed="false">
      <c r="B34" s="2" t="s">
        <v>108</v>
      </c>
      <c r="C34" s="10" t="n">
        <f aca="false">(Inputs!$F$19+Inputs!$F$20+Inputs!$F$21)*Inputs!$C$25+Inputs!$F$22</f>
        <v>615</v>
      </c>
    </row>
    <row r="35" customFormat="false" ht="15" hidden="false" customHeight="false" outlineLevel="0" collapsed="false">
      <c r="B35" s="2" t="s">
        <v>109</v>
      </c>
      <c r="C35" s="19" t="n">
        <f aca="false">C32-Inputs!$F$22/C3</f>
        <v>36.0026016</v>
      </c>
      <c r="D35" s="19" t="n">
        <f aca="false">C32-Inputs!$F$22/D3</f>
        <v>36.4526016</v>
      </c>
      <c r="E35" s="19" t="n">
        <f aca="false">C32-Inputs!$F$22/E3</f>
        <v>36.6026016</v>
      </c>
    </row>
    <row r="36" customFormat="false" ht="15" hidden="false" customHeight="false" outlineLevel="0" collapsed="false">
      <c r="B36" s="2" t="s">
        <v>110</v>
      </c>
      <c r="C36" s="19" t="n">
        <f aca="false">$C$32-$C$33-$C$34/C3</f>
        <v>-11.4140650666667</v>
      </c>
      <c r="D36" s="19" t="n">
        <f aca="false">$C$32-$C$33-$C$34/D3</f>
        <v>7.03593493333333</v>
      </c>
      <c r="E36" s="19" t="n">
        <f aca="false">$C$32-$C$33-$C$34/E3</f>
        <v>13.1859349333333</v>
      </c>
      <c r="F36" s="20" t="s">
        <v>111</v>
      </c>
    </row>
    <row r="37" customFormat="false" ht="15" hidden="false" customHeight="false" outlineLevel="0" collapsed="false">
      <c r="B37" s="2" t="s">
        <v>112</v>
      </c>
      <c r="C37" s="13" t="n">
        <f aca="false">IF(C32-C33-Inputs!$F$11&gt;0,C34/(C32-C33-Inputs!$F$11),"onhaalbaar")</f>
        <v>141.837921799073</v>
      </c>
    </row>
    <row r="38" customFormat="false" ht="15" hidden="false" customHeight="false" outlineLevel="0" collapsed="false">
      <c r="B38" s="2" t="s">
        <v>113</v>
      </c>
      <c r="C38" s="13" t="n">
        <f aca="false">IF(C32-C33-Inputs!$F$11&gt;0,(1000+C34)/(C32-C33-Inputs!$F$11),"onhaalbaar")</f>
        <v>372.468688952036</v>
      </c>
    </row>
    <row r="39" customFormat="false" ht="15" hidden="false" customHeight="false" outlineLevel="0" collapsed="false">
      <c r="B39" s="2" t="s">
        <v>114</v>
      </c>
      <c r="C39" s="13" t="n">
        <f aca="false">IF(C32-C33-Inputs!$F$11&gt;0,(3000+C34)/(C32-C33-Inputs!$F$11),"onhaalbaar")</f>
        <v>833.730223257963</v>
      </c>
    </row>
    <row r="40" customFormat="false" ht="15" hidden="false" customHeight="false" outlineLevel="0" collapsed="false">
      <c r="B40" s="2" t="s">
        <v>115</v>
      </c>
      <c r="C40" s="13" t="n">
        <f aca="false">IF(ISNUMBER(C39),ROUNDUP(C39*Inputs!$F$6*Inputs!$F$7/Inputs!$F$17,0),"-")</f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11" min="3" style="0" width="12"/>
  </cols>
  <sheetData>
    <row r="1" customFormat="false" ht="17.35" hidden="false" customHeight="false" outlineLevel="0" collapsed="false">
      <c r="B1" s="1" t="s">
        <v>116</v>
      </c>
    </row>
    <row r="3" customFormat="false" ht="15" hidden="false" customHeight="false" outlineLevel="0" collapsed="false">
      <c r="C3" s="12" t="n">
        <v>20</v>
      </c>
      <c r="D3" s="12" t="n">
        <v>50</v>
      </c>
      <c r="E3" s="12" t="n">
        <v>100</v>
      </c>
      <c r="F3" s="12" t="n">
        <v>20</v>
      </c>
      <c r="G3" s="12" t="n">
        <v>50</v>
      </c>
      <c r="H3" s="12" t="n">
        <v>100</v>
      </c>
      <c r="I3" s="12" t="n">
        <v>20</v>
      </c>
      <c r="J3" s="12" t="n">
        <v>50</v>
      </c>
      <c r="K3" s="12" t="n">
        <v>100</v>
      </c>
    </row>
    <row r="4" customFormat="false" ht="26.85" hidden="false" customHeight="false" outlineLevel="0" collapsed="false">
      <c r="B4" s="5" t="s">
        <v>76</v>
      </c>
      <c r="C4" s="5" t="s">
        <v>117</v>
      </c>
      <c r="D4" s="5" t="s">
        <v>118</v>
      </c>
      <c r="E4" s="5" t="s">
        <v>119</v>
      </c>
      <c r="F4" s="5" t="s">
        <v>120</v>
      </c>
      <c r="G4" s="5" t="s">
        <v>121</v>
      </c>
      <c r="H4" s="5" t="s">
        <v>122</v>
      </c>
      <c r="I4" s="5" t="s">
        <v>123</v>
      </c>
      <c r="J4" s="5" t="s">
        <v>124</v>
      </c>
      <c r="K4" s="5" t="s">
        <v>125</v>
      </c>
    </row>
    <row r="5" customFormat="false" ht="15" hidden="false" customHeight="false" outlineLevel="0" collapsed="false">
      <c r="B5" s="2" t="s">
        <v>80</v>
      </c>
      <c r="C5" s="13" t="n">
        <f aca="false">C3</f>
        <v>20</v>
      </c>
      <c r="D5" s="13" t="n">
        <f aca="false">D3</f>
        <v>50</v>
      </c>
      <c r="E5" s="13" t="n">
        <f aca="false">E3</f>
        <v>100</v>
      </c>
      <c r="F5" s="13" t="n">
        <f aca="false">F3</f>
        <v>20</v>
      </c>
      <c r="G5" s="13" t="n">
        <f aca="false">G3</f>
        <v>50</v>
      </c>
      <c r="H5" s="13" t="n">
        <f aca="false">H3</f>
        <v>100</v>
      </c>
      <c r="I5" s="13" t="n">
        <f aca="false">I3</f>
        <v>20</v>
      </c>
      <c r="J5" s="13" t="n">
        <f aca="false">J3</f>
        <v>50</v>
      </c>
      <c r="K5" s="13" t="n">
        <f aca="false">K3</f>
        <v>100</v>
      </c>
    </row>
    <row r="6" customFormat="false" ht="15" hidden="false" customHeight="false" outlineLevel="0" collapsed="false">
      <c r="B6" s="2" t="s">
        <v>81</v>
      </c>
      <c r="C6" s="15" t="n">
        <f aca="false">C5*Inputs!$C$6</f>
        <v>11</v>
      </c>
      <c r="D6" s="15" t="n">
        <f aca="false">D5*Inputs!$C$6</f>
        <v>27.5</v>
      </c>
      <c r="E6" s="15" t="n">
        <f aca="false">E5*Inputs!$C$6</f>
        <v>55</v>
      </c>
      <c r="F6" s="15" t="n">
        <f aca="false">F5*Inputs!$D$6</f>
        <v>13</v>
      </c>
      <c r="G6" s="15" t="n">
        <f aca="false">G5*Inputs!$D$6</f>
        <v>32.5</v>
      </c>
      <c r="H6" s="15" t="n">
        <f aca="false">H5*Inputs!$D$6</f>
        <v>65</v>
      </c>
      <c r="I6" s="15" t="n">
        <f aca="false">I5*Inputs!$E$6</f>
        <v>15</v>
      </c>
      <c r="J6" s="15" t="n">
        <f aca="false">J5*Inputs!$E$6</f>
        <v>37.5</v>
      </c>
      <c r="K6" s="15" t="n">
        <f aca="false">K5*Inputs!$E$6</f>
        <v>75</v>
      </c>
    </row>
    <row r="7" customFormat="false" ht="15" hidden="false" customHeight="false" outlineLevel="0" collapsed="false">
      <c r="B7" s="2" t="s">
        <v>82</v>
      </c>
      <c r="C7" s="15" t="n">
        <f aca="false">C6*Inputs!$C$7</f>
        <v>7.15</v>
      </c>
      <c r="D7" s="15" t="n">
        <f aca="false">D6*Inputs!$C$7</f>
        <v>17.875</v>
      </c>
      <c r="E7" s="15" t="n">
        <f aca="false">E6*Inputs!$C$7</f>
        <v>35.75</v>
      </c>
      <c r="F7" s="15" t="n">
        <f aca="false">F6*Inputs!$D$7</f>
        <v>10.4</v>
      </c>
      <c r="G7" s="15" t="n">
        <f aca="false">G6*Inputs!$D$7</f>
        <v>26</v>
      </c>
      <c r="H7" s="15" t="n">
        <f aca="false">H6*Inputs!$D$7</f>
        <v>52</v>
      </c>
      <c r="I7" s="15" t="n">
        <f aca="false">I6*Inputs!$E$7</f>
        <v>13.5</v>
      </c>
      <c r="J7" s="15" t="n">
        <f aca="false">J6*Inputs!$E$7</f>
        <v>33.75</v>
      </c>
      <c r="K7" s="15" t="n">
        <f aca="false">K6*Inputs!$E$7</f>
        <v>67.5</v>
      </c>
    </row>
    <row r="8" customFormat="false" ht="15" hidden="false" customHeight="false" outlineLevel="0" collapsed="false">
      <c r="B8" s="2" t="s">
        <v>83</v>
      </c>
      <c r="C8" s="15" t="n">
        <f aca="false">C7*Inputs!$C$9</f>
        <v>0.858</v>
      </c>
      <c r="D8" s="15" t="n">
        <f aca="false">D7*Inputs!$C$9</f>
        <v>2.145</v>
      </c>
      <c r="E8" s="15" t="n">
        <f aca="false">E7*Inputs!$C$9</f>
        <v>4.29</v>
      </c>
      <c r="F8" s="15" t="n">
        <f aca="false">F7*Inputs!$D$9</f>
        <v>0.832</v>
      </c>
      <c r="G8" s="15" t="n">
        <f aca="false">G7*Inputs!$D$9</f>
        <v>2.08</v>
      </c>
      <c r="H8" s="15" t="n">
        <f aca="false">H7*Inputs!$D$9</f>
        <v>4.16</v>
      </c>
      <c r="I8" s="15" t="n">
        <f aca="false">I7*Inputs!$E$9</f>
        <v>0.675</v>
      </c>
      <c r="J8" s="15" t="n">
        <f aca="false">J7*Inputs!$E$9</f>
        <v>1.6875</v>
      </c>
      <c r="K8" s="15" t="n">
        <f aca="false">K7*Inputs!$E$9</f>
        <v>3.375</v>
      </c>
    </row>
    <row r="9" customFormat="false" ht="15" hidden="false" customHeight="false" outlineLevel="0" collapsed="false">
      <c r="B9" s="2" t="s">
        <v>84</v>
      </c>
      <c r="C9" s="15" t="n">
        <f aca="false">C7-C8</f>
        <v>6.292</v>
      </c>
      <c r="D9" s="15" t="n">
        <f aca="false">D7-D8</f>
        <v>15.73</v>
      </c>
      <c r="E9" s="15" t="n">
        <f aca="false">E7-E8</f>
        <v>31.46</v>
      </c>
      <c r="F9" s="15" t="n">
        <f aca="false">F7-F8</f>
        <v>9.568</v>
      </c>
      <c r="G9" s="15" t="n">
        <f aca="false">G7-G8</f>
        <v>23.92</v>
      </c>
      <c r="H9" s="15" t="n">
        <f aca="false">H7-H8</f>
        <v>47.84</v>
      </c>
      <c r="I9" s="15" t="n">
        <f aca="false">I7-I8</f>
        <v>12.825</v>
      </c>
      <c r="J9" s="15" t="n">
        <f aca="false">J7-J8</f>
        <v>32.0625</v>
      </c>
      <c r="K9" s="15" t="n">
        <f aca="false">K7-K8</f>
        <v>64.125</v>
      </c>
    </row>
    <row r="10" customFormat="false" ht="15" hidden="false" customHeight="false" outlineLevel="0" collapsed="false">
      <c r="B10" s="2" t="s">
        <v>85</v>
      </c>
      <c r="C10" s="10" t="n">
        <f aca="false">C9*Inputs!$C$8</f>
        <v>377.52</v>
      </c>
      <c r="D10" s="10" t="n">
        <f aca="false">D9*Inputs!$C$8</f>
        <v>943.8</v>
      </c>
      <c r="E10" s="10" t="n">
        <f aca="false">E9*Inputs!$C$8</f>
        <v>1887.6</v>
      </c>
      <c r="F10" s="10" t="n">
        <f aca="false">F9*Inputs!$D$8</f>
        <v>765.44</v>
      </c>
      <c r="G10" s="10" t="n">
        <f aca="false">G9*Inputs!$D$8</f>
        <v>1913.6</v>
      </c>
      <c r="H10" s="10" t="n">
        <f aca="false">H9*Inputs!$D$8</f>
        <v>3827.2</v>
      </c>
      <c r="I10" s="10" t="n">
        <f aca="false">I9*Inputs!$E$8</f>
        <v>1154.25</v>
      </c>
      <c r="J10" s="10" t="n">
        <f aca="false">J9*Inputs!$E$8</f>
        <v>2885.625</v>
      </c>
      <c r="K10" s="10" t="n">
        <f aca="false">K9*Inputs!$E$8</f>
        <v>5771.25</v>
      </c>
    </row>
    <row r="11" customFormat="false" ht="15" hidden="false" customHeight="false" outlineLevel="0" collapsed="false">
      <c r="B11" s="2" t="s">
        <v>86</v>
      </c>
      <c r="C11" s="10" t="n">
        <f aca="false">-C10*Inputs!$C$10</f>
        <v>-18.876</v>
      </c>
      <c r="D11" s="10" t="n">
        <f aca="false">-D10*Inputs!$C$10</f>
        <v>-47.19</v>
      </c>
      <c r="E11" s="10" t="n">
        <f aca="false">-E10*Inputs!$C$10</f>
        <v>-94.38</v>
      </c>
      <c r="F11" s="10" t="n">
        <f aca="false">-F10*Inputs!$D$10</f>
        <v>-22.9632</v>
      </c>
      <c r="G11" s="10" t="n">
        <f aca="false">-G10*Inputs!$D$10</f>
        <v>-57.408</v>
      </c>
      <c r="H11" s="10" t="n">
        <f aca="false">-H10*Inputs!$D$10</f>
        <v>-114.816</v>
      </c>
      <c r="I11" s="10" t="n">
        <f aca="false">-I10*Inputs!$E$10</f>
        <v>-11.5425</v>
      </c>
      <c r="J11" s="10" t="n">
        <f aca="false">-J10*Inputs!$E$10</f>
        <v>-28.85625</v>
      </c>
      <c r="K11" s="10" t="n">
        <f aca="false">-K10*Inputs!$E$10</f>
        <v>-57.7125</v>
      </c>
    </row>
    <row r="12" customFormat="false" ht="15" hidden="false" customHeight="false" outlineLevel="0" collapsed="false">
      <c r="B12" s="2" t="s">
        <v>87</v>
      </c>
      <c r="C12" s="10" t="n">
        <f aca="false">-(C10+C11)*Inputs!$C$26</f>
        <v>-3.58644</v>
      </c>
      <c r="D12" s="10" t="n">
        <f aca="false">-(D10+D11)*Inputs!$C$26</f>
        <v>-8.9661</v>
      </c>
      <c r="E12" s="10" t="n">
        <f aca="false">-(E10+E11)*Inputs!$C$26</f>
        <v>-17.9322</v>
      </c>
      <c r="F12" s="10" t="n">
        <f aca="false">-(F10+F11)*Inputs!$C$26</f>
        <v>-7.424768</v>
      </c>
      <c r="G12" s="10" t="n">
        <f aca="false">-(G10+G11)*Inputs!$C$26</f>
        <v>-18.56192</v>
      </c>
      <c r="H12" s="10" t="n">
        <f aca="false">-(H10+H11)*Inputs!$C$26</f>
        <v>-37.12384</v>
      </c>
      <c r="I12" s="10" t="n">
        <f aca="false">-(I10+I11)*Inputs!$C$26</f>
        <v>-11.427075</v>
      </c>
      <c r="J12" s="10" t="n">
        <f aca="false">-(J10+J11)*Inputs!$C$26</f>
        <v>-28.5676875</v>
      </c>
      <c r="K12" s="10" t="n">
        <f aca="false">-(K10+K11)*Inputs!$C$26</f>
        <v>-57.135375</v>
      </c>
    </row>
    <row r="13" customFormat="false" ht="15" hidden="false" customHeight="false" outlineLevel="0" collapsed="false">
      <c r="B13" s="2" t="s">
        <v>88</v>
      </c>
      <c r="C13" s="10" t="n">
        <f aca="false">-C5*Inputs!$C$11</f>
        <v>-440</v>
      </c>
      <c r="D13" s="10" t="n">
        <f aca="false">-D5*Inputs!$C$11</f>
        <v>-1100</v>
      </c>
      <c r="E13" s="10" t="n">
        <f aca="false">-E5*Inputs!$C$11</f>
        <v>-2200</v>
      </c>
      <c r="F13" s="10" t="n">
        <f aca="false">-F5*Inputs!$D$11</f>
        <v>-300</v>
      </c>
      <c r="G13" s="10" t="n">
        <f aca="false">-G5*Inputs!$D$11</f>
        <v>-750</v>
      </c>
      <c r="H13" s="10" t="n">
        <f aca="false">-H5*Inputs!$D$11</f>
        <v>-1500</v>
      </c>
      <c r="I13" s="10" t="n">
        <f aca="false">-I5*Inputs!$E$11</f>
        <v>-240</v>
      </c>
      <c r="J13" s="10" t="n">
        <f aca="false">-J5*Inputs!$E$11</f>
        <v>-600</v>
      </c>
      <c r="K13" s="10" t="n">
        <f aca="false">-K5*Inputs!$E$11</f>
        <v>-1200</v>
      </c>
    </row>
    <row r="14" customFormat="false" ht="15" hidden="false" customHeight="false" outlineLevel="0" collapsed="false">
      <c r="B14" s="2" t="s">
        <v>89</v>
      </c>
      <c r="C14" s="10" t="n">
        <f aca="false">-Inputs!$C$22</f>
        <v>-25</v>
      </c>
      <c r="D14" s="10" t="n">
        <f aca="false">-Inputs!$C$22</f>
        <v>-25</v>
      </c>
      <c r="E14" s="10" t="n">
        <f aca="false">-Inputs!$C$22</f>
        <v>-25</v>
      </c>
      <c r="F14" s="10" t="n">
        <f aca="false">-Inputs!$D$22</f>
        <v>-15</v>
      </c>
      <c r="G14" s="10" t="n">
        <f aca="false">-Inputs!$D$22</f>
        <v>-15</v>
      </c>
      <c r="H14" s="10" t="n">
        <f aca="false">-Inputs!$D$22</f>
        <v>-15</v>
      </c>
      <c r="I14" s="10" t="n">
        <f aca="false">-Inputs!$E$22</f>
        <v>-10</v>
      </c>
      <c r="J14" s="10" t="n">
        <f aca="false">-Inputs!$E$22</f>
        <v>-10</v>
      </c>
      <c r="K14" s="10" t="n">
        <f aca="false">-Inputs!$E$22</f>
        <v>-10</v>
      </c>
    </row>
    <row r="15" customFormat="false" ht="15" hidden="false" customHeight="false" outlineLevel="0" collapsed="false">
      <c r="B15" s="3" t="s">
        <v>90</v>
      </c>
      <c r="C15" s="18" t="n">
        <f aca="false">SUM(C10:C14)</f>
        <v>-109.94244</v>
      </c>
      <c r="D15" s="18" t="n">
        <f aca="false">SUM(D10:D14)</f>
        <v>-237.3561</v>
      </c>
      <c r="E15" s="18" t="n">
        <f aca="false">SUM(E10:E14)</f>
        <v>-449.7122</v>
      </c>
      <c r="F15" s="18" t="n">
        <f aca="false">SUM(F10:F14)</f>
        <v>420.052032</v>
      </c>
      <c r="G15" s="18" t="n">
        <f aca="false">SUM(G10:G14)</f>
        <v>1072.63008</v>
      </c>
      <c r="H15" s="18" t="n">
        <f aca="false">SUM(H10:H14)</f>
        <v>2160.26016</v>
      </c>
      <c r="I15" s="18" t="n">
        <f aca="false">SUM(I10:I14)</f>
        <v>881.280425</v>
      </c>
      <c r="J15" s="18" t="n">
        <f aca="false">SUM(J10:J14)</f>
        <v>2218.2010625</v>
      </c>
      <c r="K15" s="18" t="n">
        <f aca="false">SUM(K10:K14)</f>
        <v>4446.402125</v>
      </c>
    </row>
    <row r="16" customFormat="false" ht="15" hidden="false" customHeight="false" outlineLevel="0" collapsed="false">
      <c r="B16" s="2" t="s">
        <v>91</v>
      </c>
      <c r="C16" s="13" t="n">
        <f aca="false">IF(Inputs!$C$17&gt;0,ROUNDUP(C7/Inputs!$C$17,0),0)</f>
        <v>2</v>
      </c>
      <c r="D16" s="13" t="n">
        <f aca="false">IF(Inputs!$C$17&gt;0,ROUNDUP(D7/Inputs!$C$17,0),0)</f>
        <v>5</v>
      </c>
      <c r="E16" s="13" t="n">
        <f aca="false">IF(Inputs!$C$17&gt;0,ROUNDUP(E7/Inputs!$C$17,0),0)</f>
        <v>9</v>
      </c>
      <c r="F16" s="13" t="n">
        <f aca="false">IF(Inputs!$D$17&gt;0,ROUNDUP(F7/Inputs!$D$17,0),0)</f>
        <v>2</v>
      </c>
      <c r="G16" s="13" t="n">
        <f aca="false">IF(Inputs!$D$17&gt;0,ROUNDUP(G7/Inputs!$D$17,0),0)</f>
        <v>5</v>
      </c>
      <c r="H16" s="13" t="n">
        <f aca="false">IF(Inputs!$D$17&gt;0,ROUNDUP(H7/Inputs!$D$17,0),0)</f>
        <v>9</v>
      </c>
      <c r="I16" s="13" t="n">
        <f aca="false">IF(Inputs!$E$17&gt;0,ROUNDUP(I7/Inputs!$E$17,0),0)</f>
        <v>2</v>
      </c>
      <c r="J16" s="13" t="n">
        <f aca="false">IF(Inputs!$E$17&gt;0,ROUNDUP(J7/Inputs!$E$17,0),0)</f>
        <v>5</v>
      </c>
      <c r="K16" s="13" t="n">
        <f aca="false">IF(Inputs!$E$17&gt;0,ROUNDUP(K7/Inputs!$E$17,0),0)</f>
        <v>9</v>
      </c>
    </row>
    <row r="17" customFormat="false" ht="15" hidden="false" customHeight="false" outlineLevel="0" collapsed="false">
      <c r="B17" s="2" t="s">
        <v>92</v>
      </c>
      <c r="C17" s="15" t="n">
        <f aca="false">C5*Inputs!$C$12/60</f>
        <v>3.33333333333333</v>
      </c>
      <c r="D17" s="15" t="n">
        <f aca="false">D5*Inputs!$C$12/60</f>
        <v>8.33333333333333</v>
      </c>
      <c r="E17" s="15" t="n">
        <f aca="false">E5*Inputs!$C$12/60</f>
        <v>16.6666666666667</v>
      </c>
      <c r="F17" s="15" t="n">
        <f aca="false">F5*Inputs!$D$12/60</f>
        <v>2.33333333333333</v>
      </c>
      <c r="G17" s="15" t="n">
        <f aca="false">G5*Inputs!$D$12/60</f>
        <v>5.83333333333333</v>
      </c>
      <c r="H17" s="15" t="n">
        <f aca="false">H5*Inputs!$D$12/60</f>
        <v>11.6666666666667</v>
      </c>
      <c r="I17" s="15" t="n">
        <f aca="false">I5*Inputs!$E$12/60</f>
        <v>1.66666666666667</v>
      </c>
      <c r="J17" s="15" t="n">
        <f aca="false">J5*Inputs!$E$12/60</f>
        <v>4.16666666666667</v>
      </c>
      <c r="K17" s="15" t="n">
        <f aca="false">K5*Inputs!$E$12/60</f>
        <v>8.33333333333333</v>
      </c>
    </row>
    <row r="18" customFormat="false" ht="15" hidden="false" customHeight="false" outlineLevel="0" collapsed="false">
      <c r="B18" s="2" t="s">
        <v>93</v>
      </c>
      <c r="C18" s="15" t="n">
        <f aca="false">C7*Inputs!$C$13/60</f>
        <v>1.19166666666667</v>
      </c>
      <c r="D18" s="15" t="n">
        <f aca="false">D7*Inputs!$C$13/60</f>
        <v>2.97916666666667</v>
      </c>
      <c r="E18" s="15" t="n">
        <f aca="false">E7*Inputs!$C$13/60</f>
        <v>5.95833333333333</v>
      </c>
      <c r="F18" s="15" t="n">
        <f aca="false">F7*Inputs!$D$13/60</f>
        <v>1.04</v>
      </c>
      <c r="G18" s="15" t="n">
        <f aca="false">G7*Inputs!$D$13/60</f>
        <v>2.6</v>
      </c>
      <c r="H18" s="15" t="n">
        <f aca="false">H7*Inputs!$D$13/60</f>
        <v>5.2</v>
      </c>
      <c r="I18" s="15" t="n">
        <f aca="false">I7*Inputs!$E$13/60</f>
        <v>0.9</v>
      </c>
      <c r="J18" s="15" t="n">
        <f aca="false">J7*Inputs!$E$13/60</f>
        <v>2.25</v>
      </c>
      <c r="K18" s="15" t="n">
        <f aca="false">K7*Inputs!$E$13/60</f>
        <v>4.5</v>
      </c>
    </row>
    <row r="19" customFormat="false" ht="15" hidden="false" customHeight="false" outlineLevel="0" collapsed="false">
      <c r="B19" s="2" t="s">
        <v>94</v>
      </c>
      <c r="C19" s="15" t="n">
        <f aca="false">C8*Inputs!$C$14/60</f>
        <v>0.286</v>
      </c>
      <c r="D19" s="15" t="n">
        <f aca="false">D8*Inputs!$C$14/60</f>
        <v>0.715</v>
      </c>
      <c r="E19" s="15" t="n">
        <f aca="false">E8*Inputs!$C$14/60</f>
        <v>1.43</v>
      </c>
      <c r="F19" s="15" t="n">
        <f aca="false">F8*Inputs!$D$14/60</f>
        <v>0.208</v>
      </c>
      <c r="G19" s="15" t="n">
        <f aca="false">G8*Inputs!$D$14/60</f>
        <v>0.52</v>
      </c>
      <c r="H19" s="15" t="n">
        <f aca="false">H8*Inputs!$D$14/60</f>
        <v>1.04</v>
      </c>
      <c r="I19" s="15" t="n">
        <f aca="false">I8*Inputs!$E$14/60</f>
        <v>0.1125</v>
      </c>
      <c r="J19" s="15" t="n">
        <f aca="false">J8*Inputs!$E$14/60</f>
        <v>0.28125</v>
      </c>
      <c r="K19" s="15" t="n">
        <f aca="false">K8*Inputs!$E$14/60</f>
        <v>0.5625</v>
      </c>
    </row>
    <row r="20" customFormat="false" ht="15" hidden="false" customHeight="false" outlineLevel="0" collapsed="false">
      <c r="B20" s="2" t="s">
        <v>95</v>
      </c>
      <c r="C20" s="15" t="n">
        <f aca="false">C16*Inputs!$C$18/60</f>
        <v>1</v>
      </c>
      <c r="D20" s="15" t="n">
        <f aca="false">D16*Inputs!$C$18/60</f>
        <v>2.5</v>
      </c>
      <c r="E20" s="15" t="n">
        <f aca="false">E16*Inputs!$C$18/60</f>
        <v>4.5</v>
      </c>
      <c r="F20" s="15" t="n">
        <f aca="false">F16*Inputs!$D$18/60</f>
        <v>0.666666666666667</v>
      </c>
      <c r="G20" s="15" t="n">
        <f aca="false">G16*Inputs!$D$18/60</f>
        <v>1.66666666666667</v>
      </c>
      <c r="H20" s="15" t="n">
        <f aca="false">H16*Inputs!$D$18/60</f>
        <v>3</v>
      </c>
      <c r="I20" s="15" t="n">
        <f aca="false">I16*Inputs!$E$18/60</f>
        <v>0.5</v>
      </c>
      <c r="J20" s="15" t="n">
        <f aca="false">J16*Inputs!$E$18/60</f>
        <v>1.25</v>
      </c>
      <c r="K20" s="15" t="n">
        <f aca="false">K16*Inputs!$E$18/60</f>
        <v>2.25</v>
      </c>
    </row>
    <row r="21" customFormat="false" ht="15" hidden="false" customHeight="false" outlineLevel="0" collapsed="false">
      <c r="B21" s="2" t="s">
        <v>96</v>
      </c>
      <c r="C21" s="15" t="n">
        <f aca="false">C16*Inputs!$C$16*Inputs!$C$15</f>
        <v>1.2</v>
      </c>
      <c r="D21" s="15" t="n">
        <f aca="false">D16*Inputs!$C$16*Inputs!$C$15</f>
        <v>3</v>
      </c>
      <c r="E21" s="15" t="n">
        <f aca="false">E16*Inputs!$C$16*Inputs!$C$15</f>
        <v>5.4</v>
      </c>
      <c r="F21" s="15" t="n">
        <f aca="false">F16*Inputs!$D$16*Inputs!$D$15</f>
        <v>0.56</v>
      </c>
      <c r="G21" s="15" t="n">
        <f aca="false">G16*Inputs!$D$16*Inputs!$D$15</f>
        <v>1.4</v>
      </c>
      <c r="H21" s="15" t="n">
        <f aca="false">H16*Inputs!$D$16*Inputs!$D$15</f>
        <v>2.52</v>
      </c>
      <c r="I21" s="15" t="n">
        <f aca="false">I16*Inputs!$E$16*Inputs!$E$15</f>
        <v>0.3</v>
      </c>
      <c r="J21" s="15" t="n">
        <f aca="false">J16*Inputs!$E$16*Inputs!$E$15</f>
        <v>0.75</v>
      </c>
      <c r="K21" s="15" t="n">
        <f aca="false">K16*Inputs!$E$16*Inputs!$E$15</f>
        <v>1.35</v>
      </c>
    </row>
    <row r="22" customFormat="false" ht="15" hidden="false" customHeight="false" outlineLevel="0" collapsed="false">
      <c r="B22" s="2" t="s">
        <v>97</v>
      </c>
      <c r="C22" s="15" t="n">
        <f aca="false">Inputs!$C$19+Inputs!$C$20+Inputs!$C$21</f>
        <v>12</v>
      </c>
      <c r="D22" s="15" t="n">
        <f aca="false">Inputs!$C$19+Inputs!$C$20+Inputs!$C$21</f>
        <v>12</v>
      </c>
      <c r="E22" s="15" t="n">
        <f aca="false">Inputs!$C$19+Inputs!$C$20+Inputs!$C$21</f>
        <v>12</v>
      </c>
      <c r="F22" s="15" t="n">
        <f aca="false">Inputs!$D$19+Inputs!$D$20+Inputs!$D$21</f>
        <v>8</v>
      </c>
      <c r="G22" s="15" t="n">
        <f aca="false">Inputs!$D$19+Inputs!$D$20+Inputs!$D$21</f>
        <v>8</v>
      </c>
      <c r="H22" s="15" t="n">
        <f aca="false">Inputs!$D$19+Inputs!$D$20+Inputs!$D$21</f>
        <v>8</v>
      </c>
      <c r="I22" s="15" t="n">
        <f aca="false">Inputs!$E$19+Inputs!$E$20+Inputs!$E$21</f>
        <v>5.5</v>
      </c>
      <c r="J22" s="15" t="n">
        <f aca="false">Inputs!$E$19+Inputs!$E$20+Inputs!$E$21</f>
        <v>5.5</v>
      </c>
      <c r="K22" s="15" t="n">
        <f aca="false">Inputs!$E$19+Inputs!$E$20+Inputs!$E$21</f>
        <v>5.5</v>
      </c>
    </row>
    <row r="23" customFormat="false" ht="15" hidden="false" customHeight="false" outlineLevel="0" collapsed="false">
      <c r="B23" s="3" t="s">
        <v>98</v>
      </c>
      <c r="C23" s="15" t="n">
        <f aca="false">SUM(C17:C22)</f>
        <v>19.011</v>
      </c>
      <c r="D23" s="15" t="n">
        <f aca="false">SUM(D17:D22)</f>
        <v>29.5275</v>
      </c>
      <c r="E23" s="15" t="n">
        <f aca="false">SUM(E17:E22)</f>
        <v>45.955</v>
      </c>
      <c r="F23" s="15" t="n">
        <f aca="false">SUM(F17:F22)</f>
        <v>12.808</v>
      </c>
      <c r="G23" s="15" t="n">
        <f aca="false">SUM(G17:G22)</f>
        <v>20.02</v>
      </c>
      <c r="H23" s="15" t="n">
        <f aca="false">SUM(H17:H22)</f>
        <v>31.4266666666667</v>
      </c>
      <c r="I23" s="15" t="n">
        <f aca="false">SUM(I17:I22)</f>
        <v>8.97916666666667</v>
      </c>
      <c r="J23" s="15" t="n">
        <f aca="false">SUM(J17:J22)</f>
        <v>14.1979166666667</v>
      </c>
      <c r="K23" s="15" t="n">
        <f aca="false">SUM(K17:K22)</f>
        <v>22.4958333333333</v>
      </c>
    </row>
    <row r="24" customFormat="false" ht="15" hidden="false" customHeight="false" outlineLevel="0" collapsed="false">
      <c r="B24" s="2" t="s">
        <v>99</v>
      </c>
      <c r="C24" s="13" t="n">
        <f aca="false">C23*60/Inputs!$C$29</f>
        <v>54.3171428571429</v>
      </c>
      <c r="D24" s="13" t="n">
        <f aca="false">D23*60/Inputs!$C$29</f>
        <v>84.3642857142857</v>
      </c>
      <c r="E24" s="13" t="n">
        <f aca="false">E23*60/Inputs!$C$29</f>
        <v>131.3</v>
      </c>
      <c r="F24" s="13" t="n">
        <f aca="false">F23*60/Inputs!$C$29</f>
        <v>36.5942857142857</v>
      </c>
      <c r="G24" s="13" t="n">
        <f aca="false">G23*60/Inputs!$C$29</f>
        <v>57.2</v>
      </c>
      <c r="H24" s="13" t="n">
        <f aca="false">H23*60/Inputs!$C$29</f>
        <v>89.7904761904762</v>
      </c>
      <c r="I24" s="13" t="n">
        <f aca="false">I23*60/Inputs!$C$29</f>
        <v>25.6547619047619</v>
      </c>
      <c r="J24" s="13" t="n">
        <f aca="false">J23*60/Inputs!$C$29</f>
        <v>40.5654761904762</v>
      </c>
      <c r="K24" s="13" t="n">
        <f aca="false">K23*60/Inputs!$C$29</f>
        <v>64.2738095238095</v>
      </c>
    </row>
    <row r="25" customFormat="false" ht="15" hidden="false" customHeight="false" outlineLevel="0" collapsed="false">
      <c r="B25" s="2" t="s">
        <v>100</v>
      </c>
      <c r="C25" s="10" t="n">
        <f aca="false">-C23*Inputs!$C$25</f>
        <v>-1425.825</v>
      </c>
      <c r="D25" s="10" t="n">
        <f aca="false">-D23*Inputs!$C$25</f>
        <v>-2214.5625</v>
      </c>
      <c r="E25" s="10" t="n">
        <f aca="false">-E23*Inputs!$C$25</f>
        <v>-3446.625</v>
      </c>
      <c r="F25" s="10" t="n">
        <f aca="false">-F23*Inputs!$C$25</f>
        <v>-960.6</v>
      </c>
      <c r="G25" s="10" t="n">
        <f aca="false">-G23*Inputs!$C$25</f>
        <v>-1501.5</v>
      </c>
      <c r="H25" s="10" t="n">
        <f aca="false">-H23*Inputs!$C$25</f>
        <v>-2357</v>
      </c>
      <c r="I25" s="10" t="n">
        <f aca="false">-I23*Inputs!$C$25</f>
        <v>-673.4375</v>
      </c>
      <c r="J25" s="10" t="n">
        <f aca="false">-J23*Inputs!$C$25</f>
        <v>-1064.84375</v>
      </c>
      <c r="K25" s="10" t="n">
        <f aca="false">-K23*Inputs!$C$25</f>
        <v>-1687.1875</v>
      </c>
    </row>
    <row r="26" customFormat="false" ht="15" hidden="false" customHeight="false" outlineLevel="0" collapsed="false">
      <c r="B26" s="3" t="s">
        <v>101</v>
      </c>
      <c r="C26" s="18" t="n">
        <f aca="false">C15+C25</f>
        <v>-1535.76744</v>
      </c>
      <c r="D26" s="18" t="n">
        <f aca="false">D15+D25</f>
        <v>-2451.9186</v>
      </c>
      <c r="E26" s="18" t="n">
        <f aca="false">E15+E25</f>
        <v>-3896.3372</v>
      </c>
      <c r="F26" s="18" t="n">
        <f aca="false">F15+F25</f>
        <v>-540.547968</v>
      </c>
      <c r="G26" s="18" t="n">
        <f aca="false">G15+G25</f>
        <v>-428.86992</v>
      </c>
      <c r="H26" s="18" t="n">
        <f aca="false">H15+H25</f>
        <v>-196.73984</v>
      </c>
      <c r="I26" s="18" t="n">
        <f aca="false">I15+I25</f>
        <v>207.842925</v>
      </c>
      <c r="J26" s="18" t="n">
        <f aca="false">J15+J25</f>
        <v>1153.3573125</v>
      </c>
      <c r="K26" s="18" t="n">
        <f aca="false">K15+K25</f>
        <v>2759.214625</v>
      </c>
    </row>
    <row r="27" customFormat="false" ht="15" hidden="false" customHeight="false" outlineLevel="0" collapsed="false">
      <c r="B27" s="2" t="s">
        <v>102</v>
      </c>
      <c r="C27" s="19" t="n">
        <f aca="false">IF(C23&gt;0,C15/C23,0)</f>
        <v>-5.78309610225659</v>
      </c>
      <c r="D27" s="19" t="n">
        <f aca="false">IF(D23&gt;0,D15/D23,0)</f>
        <v>-8.03847599695199</v>
      </c>
      <c r="E27" s="19" t="n">
        <f aca="false">IF(E23&gt;0,E15/E23,0)</f>
        <v>-9.78592536176694</v>
      </c>
      <c r="F27" s="19" t="n">
        <f aca="false">IF(F23&gt;0,F15/F23,0)</f>
        <v>32.7960674578388</v>
      </c>
      <c r="G27" s="19" t="n">
        <f aca="false">IF(G23&gt;0,G15/G23,0)</f>
        <v>53.5779260739261</v>
      </c>
      <c r="H27" s="19" t="n">
        <f aca="false">IF(H23&gt;0,H15/H23,0)</f>
        <v>68.7397165888842</v>
      </c>
      <c r="I27" s="19" t="n">
        <f aca="false">IF(I23&gt;0,I15/I23,0)</f>
        <v>98.1472399071926</v>
      </c>
      <c r="J27" s="19" t="n">
        <f aca="false">IF(J23&gt;0,J15/J23,0)</f>
        <v>156.234264123258</v>
      </c>
      <c r="K27" s="19" t="n">
        <f aca="false">IF(K23&gt;0,K15/K23,0)</f>
        <v>197.65447490276</v>
      </c>
    </row>
    <row r="28" customFormat="false" ht="15" hidden="false" customHeight="false" outlineLevel="0" collapsed="false">
      <c r="B28" s="2" t="s">
        <v>103</v>
      </c>
      <c r="C28" s="19" t="n">
        <f aca="false">IF(C6&gt;0,-C13/C6,0)</f>
        <v>40</v>
      </c>
      <c r="D28" s="19" t="n">
        <f aca="false">IF(D6&gt;0,-D13/D6,0)</f>
        <v>40</v>
      </c>
      <c r="E28" s="19" t="n">
        <f aca="false">IF(E6&gt;0,-E13/E6,0)</f>
        <v>40</v>
      </c>
      <c r="F28" s="19" t="n">
        <f aca="false">IF(F6&gt;0,-F13/F6,0)</f>
        <v>23.0769230769231</v>
      </c>
      <c r="G28" s="19" t="n">
        <f aca="false">IF(G6&gt;0,-G13/G6,0)</f>
        <v>23.0769230769231</v>
      </c>
      <c r="H28" s="19" t="n">
        <f aca="false">IF(H6&gt;0,-H13/H6,0)</f>
        <v>23.0769230769231</v>
      </c>
      <c r="I28" s="19" t="n">
        <f aca="false">IF(I6&gt;0,-I13/I6,0)</f>
        <v>16</v>
      </c>
      <c r="J28" s="19" t="n">
        <f aca="false">IF(J6&gt;0,-J13/J6,0)</f>
        <v>16</v>
      </c>
      <c r="K28" s="19" t="n">
        <f aca="false">IF(K6&gt;0,-K13/K6,0)</f>
        <v>16</v>
      </c>
    </row>
    <row r="29" customFormat="false" ht="15" hidden="false" customHeight="false" outlineLevel="0" collapsed="false">
      <c r="B29" s="2" t="s">
        <v>104</v>
      </c>
      <c r="C29" s="19" t="n">
        <f aca="false">IF(C9&gt;0,-C13/C9,0)</f>
        <v>69.9300699300699</v>
      </c>
      <c r="D29" s="19" t="n">
        <f aca="false">IF(D9&gt;0,-D13/D9,0)</f>
        <v>69.9300699300699</v>
      </c>
      <c r="E29" s="19" t="n">
        <f aca="false">IF(E9&gt;0,-E13/E9,0)</f>
        <v>69.9300699300699</v>
      </c>
      <c r="F29" s="19" t="n">
        <f aca="false">IF(F9&gt;0,-F13/F9,0)</f>
        <v>31.3545150501672</v>
      </c>
      <c r="G29" s="19" t="n">
        <f aca="false">IF(G9&gt;0,-G13/G9,0)</f>
        <v>31.3545150501672</v>
      </c>
      <c r="H29" s="19" t="n">
        <f aca="false">IF(H9&gt;0,-H13/H9,0)</f>
        <v>31.3545150501672</v>
      </c>
      <c r="I29" s="19" t="n">
        <f aca="false">IF(I9&gt;0,-I13/I9,0)</f>
        <v>18.7134502923977</v>
      </c>
      <c r="J29" s="19" t="n">
        <f aca="false">IF(J9&gt;0,-J13/J9,0)</f>
        <v>18.7134502923977</v>
      </c>
      <c r="K29" s="19" t="n">
        <f aca="false">IF(K9&gt;0,-K13/K9,0)</f>
        <v>18.7134502923977</v>
      </c>
    </row>
  </sheetData>
  <conditionalFormatting sqref="C15:K15">
    <cfRule type="cellIs" priority="2" operator="lessThan" aboveAverage="0" equalAverage="0" bottom="0" percent="0" rank="0" text="" dxfId="0">
      <formula>0</formula>
    </cfRule>
  </conditionalFormatting>
  <conditionalFormatting sqref="C26:K26">
    <cfRule type="cellIs" priority="3" operator="lessThan" aboveAverage="0" equalAverage="0" bottom="0" percent="0" rank="0" text="" dxfId="0">
      <formula>0</formula>
    </cfRule>
  </conditionalFormatting>
  <conditionalFormatting sqref="C27:K27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14" min="3" style="0" width="11"/>
    <col collapsed="false" customWidth="true" hidden="false" outlineLevel="0" max="15" min="15" style="0" width="12"/>
  </cols>
  <sheetData>
    <row r="1" customFormat="false" ht="17.35" hidden="false" customHeight="false" outlineLevel="0" collapsed="false">
      <c r="B1" s="1" t="s">
        <v>126</v>
      </c>
    </row>
    <row r="2" customFormat="false" ht="15" hidden="false" customHeight="false" outlineLevel="0" collapsed="false">
      <c r="B2" s="16" t="str">
        <f aca="false">"Scenario: "&amp;Inputs!D3&amp;" · inzendingen per maand (rij 3) zijn AANNAMES: pas aan"</f>
        <v>Scenario: Testhypothese · inzendingen per maand (rij 3) zijn AANNAMES: pas aan</v>
      </c>
    </row>
    <row r="3" customFormat="false" ht="15" hidden="false" customHeight="false" outlineLevel="0" collapsed="false">
      <c r="B3" s="3" t="s">
        <v>75</v>
      </c>
      <c r="C3" s="17" t="n">
        <v>10</v>
      </c>
      <c r="D3" s="17" t="n">
        <v>20</v>
      </c>
      <c r="E3" s="17" t="n">
        <v>30</v>
      </c>
      <c r="F3" s="17" t="n">
        <v>35</v>
      </c>
      <c r="G3" s="17" t="n">
        <v>35</v>
      </c>
      <c r="H3" s="17" t="n">
        <v>30</v>
      </c>
      <c r="I3" s="17" t="n">
        <v>25</v>
      </c>
      <c r="J3" s="17" t="n">
        <v>20</v>
      </c>
      <c r="K3" s="17" t="n">
        <v>20</v>
      </c>
      <c r="L3" s="17" t="n">
        <v>20</v>
      </c>
      <c r="M3" s="17" t="n">
        <v>30</v>
      </c>
      <c r="N3" s="17" t="n">
        <v>40</v>
      </c>
    </row>
    <row r="4" customFormat="false" ht="15" hidden="false" customHeight="false" outlineLevel="0" collapsed="false">
      <c r="B4" s="5" t="s">
        <v>76</v>
      </c>
      <c r="C4" s="5" t="s">
        <v>127</v>
      </c>
      <c r="D4" s="5" t="s">
        <v>128</v>
      </c>
      <c r="E4" s="5" t="s">
        <v>129</v>
      </c>
      <c r="F4" s="5" t="s">
        <v>130</v>
      </c>
      <c r="G4" s="5" t="s">
        <v>131</v>
      </c>
      <c r="H4" s="5" t="s">
        <v>132</v>
      </c>
      <c r="I4" s="5" t="s">
        <v>133</v>
      </c>
      <c r="J4" s="5" t="s">
        <v>134</v>
      </c>
      <c r="K4" s="5" t="s">
        <v>135</v>
      </c>
      <c r="L4" s="5" t="s">
        <v>136</v>
      </c>
      <c r="M4" s="5" t="s">
        <v>137</v>
      </c>
      <c r="N4" s="5" t="s">
        <v>138</v>
      </c>
      <c r="O4" s="5" t="s">
        <v>139</v>
      </c>
    </row>
    <row r="5" customFormat="false" ht="15" hidden="false" customHeight="false" outlineLevel="0" collapsed="false">
      <c r="B5" s="2" t="s">
        <v>80</v>
      </c>
      <c r="C5" s="13" t="n">
        <f aca="false">C3</f>
        <v>10</v>
      </c>
      <c r="D5" s="13" t="n">
        <f aca="false">D3</f>
        <v>20</v>
      </c>
      <c r="E5" s="13" t="n">
        <f aca="false">E3</f>
        <v>30</v>
      </c>
      <c r="F5" s="13" t="n">
        <f aca="false">F3</f>
        <v>35</v>
      </c>
      <c r="G5" s="13" t="n">
        <f aca="false">G3</f>
        <v>35</v>
      </c>
      <c r="H5" s="13" t="n">
        <f aca="false">H3</f>
        <v>30</v>
      </c>
      <c r="I5" s="13" t="n">
        <f aca="false">I3</f>
        <v>25</v>
      </c>
      <c r="J5" s="13" t="n">
        <f aca="false">J3</f>
        <v>20</v>
      </c>
      <c r="K5" s="13" t="n">
        <f aca="false">K3</f>
        <v>20</v>
      </c>
      <c r="L5" s="13" t="n">
        <f aca="false">L3</f>
        <v>20</v>
      </c>
      <c r="M5" s="13" t="n">
        <f aca="false">M3</f>
        <v>30</v>
      </c>
      <c r="N5" s="13" t="n">
        <f aca="false">N3</f>
        <v>40</v>
      </c>
      <c r="O5" s="21" t="n">
        <f aca="false">SUM(C5:N5)</f>
        <v>315</v>
      </c>
    </row>
    <row r="6" customFormat="false" ht="15" hidden="false" customHeight="false" outlineLevel="0" collapsed="false">
      <c r="B6" s="2" t="s">
        <v>81</v>
      </c>
      <c r="C6" s="15" t="n">
        <f aca="false">C5*Inputs!$F$6</f>
        <v>6.5</v>
      </c>
      <c r="D6" s="15" t="n">
        <f aca="false">D5*Inputs!$F$6</f>
        <v>13</v>
      </c>
      <c r="E6" s="15" t="n">
        <f aca="false">E5*Inputs!$F$6</f>
        <v>19.5</v>
      </c>
      <c r="F6" s="15" t="n">
        <f aca="false">F5*Inputs!$F$6</f>
        <v>22.75</v>
      </c>
      <c r="G6" s="15" t="n">
        <f aca="false">G5*Inputs!$F$6</f>
        <v>22.75</v>
      </c>
      <c r="H6" s="15" t="n">
        <f aca="false">H5*Inputs!$F$6</f>
        <v>19.5</v>
      </c>
      <c r="I6" s="15" t="n">
        <f aca="false">I5*Inputs!$F$6</f>
        <v>16.25</v>
      </c>
      <c r="J6" s="15" t="n">
        <f aca="false">J5*Inputs!$F$6</f>
        <v>13</v>
      </c>
      <c r="K6" s="15" t="n">
        <f aca="false">K5*Inputs!$F$6</f>
        <v>13</v>
      </c>
      <c r="L6" s="15" t="n">
        <f aca="false">L5*Inputs!$F$6</f>
        <v>13</v>
      </c>
      <c r="M6" s="15" t="n">
        <f aca="false">M5*Inputs!$F$6</f>
        <v>19.5</v>
      </c>
      <c r="N6" s="15" t="n">
        <f aca="false">N5*Inputs!$F$6</f>
        <v>26</v>
      </c>
      <c r="O6" s="22" t="n">
        <f aca="false">SUM(C6:N6)</f>
        <v>204.75</v>
      </c>
    </row>
    <row r="7" customFormat="false" ht="15" hidden="false" customHeight="false" outlineLevel="0" collapsed="false">
      <c r="B7" s="2" t="s">
        <v>82</v>
      </c>
      <c r="C7" s="15" t="n">
        <f aca="false">C6*Inputs!$F$7</f>
        <v>5.2</v>
      </c>
      <c r="D7" s="15" t="n">
        <f aca="false">D6*Inputs!$F$7</f>
        <v>10.4</v>
      </c>
      <c r="E7" s="15" t="n">
        <f aca="false">E6*Inputs!$F$7</f>
        <v>15.6</v>
      </c>
      <c r="F7" s="15" t="n">
        <f aca="false">F6*Inputs!$F$7</f>
        <v>18.2</v>
      </c>
      <c r="G7" s="15" t="n">
        <f aca="false">G6*Inputs!$F$7</f>
        <v>18.2</v>
      </c>
      <c r="H7" s="15" t="n">
        <f aca="false">H6*Inputs!$F$7</f>
        <v>15.6</v>
      </c>
      <c r="I7" s="15" t="n">
        <f aca="false">I6*Inputs!$F$7</f>
        <v>13</v>
      </c>
      <c r="J7" s="15" t="n">
        <f aca="false">J6*Inputs!$F$7</f>
        <v>10.4</v>
      </c>
      <c r="K7" s="15" t="n">
        <f aca="false">K6*Inputs!$F$7</f>
        <v>10.4</v>
      </c>
      <c r="L7" s="15" t="n">
        <f aca="false">L6*Inputs!$F$7</f>
        <v>10.4</v>
      </c>
      <c r="M7" s="15" t="n">
        <f aca="false">M6*Inputs!$F$7</f>
        <v>15.6</v>
      </c>
      <c r="N7" s="15" t="n">
        <f aca="false">N6*Inputs!$F$7</f>
        <v>20.8</v>
      </c>
      <c r="O7" s="22" t="n">
        <f aca="false">SUM(C7:N7)</f>
        <v>163.8</v>
      </c>
    </row>
    <row r="8" customFormat="false" ht="15" hidden="false" customHeight="false" outlineLevel="0" collapsed="false">
      <c r="B8" s="2" t="s">
        <v>83</v>
      </c>
      <c r="C8" s="15" t="n">
        <f aca="false">C7*Inputs!$F$9</f>
        <v>0.416</v>
      </c>
      <c r="D8" s="15" t="n">
        <f aca="false">D7*Inputs!$F$9</f>
        <v>0.832</v>
      </c>
      <c r="E8" s="15" t="n">
        <f aca="false">E7*Inputs!$F$9</f>
        <v>1.248</v>
      </c>
      <c r="F8" s="15" t="n">
        <f aca="false">F7*Inputs!$F$9</f>
        <v>1.456</v>
      </c>
      <c r="G8" s="15" t="n">
        <f aca="false">G7*Inputs!$F$9</f>
        <v>1.456</v>
      </c>
      <c r="H8" s="15" t="n">
        <f aca="false">H7*Inputs!$F$9</f>
        <v>1.248</v>
      </c>
      <c r="I8" s="15" t="n">
        <f aca="false">I7*Inputs!$F$9</f>
        <v>1.04</v>
      </c>
      <c r="J8" s="15" t="n">
        <f aca="false">J7*Inputs!$F$9</f>
        <v>0.832</v>
      </c>
      <c r="K8" s="15" t="n">
        <f aca="false">K7*Inputs!$F$9</f>
        <v>0.832</v>
      </c>
      <c r="L8" s="15" t="n">
        <f aca="false">L7*Inputs!$F$9</f>
        <v>0.832</v>
      </c>
      <c r="M8" s="15" t="n">
        <f aca="false">M7*Inputs!$F$9</f>
        <v>1.248</v>
      </c>
      <c r="N8" s="15" t="n">
        <f aca="false">N7*Inputs!$F$9</f>
        <v>1.664</v>
      </c>
      <c r="O8" s="22" t="n">
        <f aca="false">SUM(C8:N8)</f>
        <v>13.104</v>
      </c>
    </row>
    <row r="9" customFormat="false" ht="15" hidden="false" customHeight="false" outlineLevel="0" collapsed="false">
      <c r="B9" s="2" t="s">
        <v>84</v>
      </c>
      <c r="C9" s="15" t="n">
        <f aca="false">C7-C8</f>
        <v>4.784</v>
      </c>
      <c r="D9" s="15" t="n">
        <f aca="false">D7-D8</f>
        <v>9.568</v>
      </c>
      <c r="E9" s="15" t="n">
        <f aca="false">E7-E8</f>
        <v>14.352</v>
      </c>
      <c r="F9" s="15" t="n">
        <f aca="false">F7-F8</f>
        <v>16.744</v>
      </c>
      <c r="G9" s="15" t="n">
        <f aca="false">G7-G8</f>
        <v>16.744</v>
      </c>
      <c r="H9" s="15" t="n">
        <f aca="false">H7-H8</f>
        <v>14.352</v>
      </c>
      <c r="I9" s="15" t="n">
        <f aca="false">I7-I8</f>
        <v>11.96</v>
      </c>
      <c r="J9" s="15" t="n">
        <f aca="false">J7-J8</f>
        <v>9.568</v>
      </c>
      <c r="K9" s="15" t="n">
        <f aca="false">K7-K8</f>
        <v>9.568</v>
      </c>
      <c r="L9" s="15" t="n">
        <f aca="false">L7-L8</f>
        <v>9.568</v>
      </c>
      <c r="M9" s="15" t="n">
        <f aca="false">M7-M8</f>
        <v>14.352</v>
      </c>
      <c r="N9" s="15" t="n">
        <f aca="false">N7-N8</f>
        <v>19.136</v>
      </c>
      <c r="O9" s="22" t="n">
        <f aca="false">SUM(C9:N9)</f>
        <v>150.696</v>
      </c>
    </row>
    <row r="10" customFormat="false" ht="15" hidden="false" customHeight="false" outlineLevel="0" collapsed="false">
      <c r="B10" s="2" t="s">
        <v>85</v>
      </c>
      <c r="C10" s="10" t="n">
        <f aca="false">C9*Inputs!$F$8</f>
        <v>382.72</v>
      </c>
      <c r="D10" s="10" t="n">
        <f aca="false">D9*Inputs!$F$8</f>
        <v>765.44</v>
      </c>
      <c r="E10" s="10" t="n">
        <f aca="false">E9*Inputs!$F$8</f>
        <v>1148.16</v>
      </c>
      <c r="F10" s="10" t="n">
        <f aca="false">F9*Inputs!$F$8</f>
        <v>1339.52</v>
      </c>
      <c r="G10" s="10" t="n">
        <f aca="false">G9*Inputs!$F$8</f>
        <v>1339.52</v>
      </c>
      <c r="H10" s="10" t="n">
        <f aca="false">H9*Inputs!$F$8</f>
        <v>1148.16</v>
      </c>
      <c r="I10" s="10" t="n">
        <f aca="false">I9*Inputs!$F$8</f>
        <v>956.8</v>
      </c>
      <c r="J10" s="10" t="n">
        <f aca="false">J9*Inputs!$F$8</f>
        <v>765.44</v>
      </c>
      <c r="K10" s="10" t="n">
        <f aca="false">K9*Inputs!$F$8</f>
        <v>765.44</v>
      </c>
      <c r="L10" s="10" t="n">
        <f aca="false">L9*Inputs!$F$8</f>
        <v>765.44</v>
      </c>
      <c r="M10" s="10" t="n">
        <f aca="false">M9*Inputs!$F$8</f>
        <v>1148.16</v>
      </c>
      <c r="N10" s="10" t="n">
        <f aca="false">N9*Inputs!$F$8</f>
        <v>1530.88</v>
      </c>
      <c r="O10" s="18" t="n">
        <f aca="false">SUM(C10:N10)</f>
        <v>12055.68</v>
      </c>
    </row>
    <row r="11" customFormat="false" ht="15" hidden="false" customHeight="false" outlineLevel="0" collapsed="false">
      <c r="B11" s="2" t="s">
        <v>86</v>
      </c>
      <c r="C11" s="10" t="n">
        <f aca="false">-C10*Inputs!$F$10</f>
        <v>-11.4816</v>
      </c>
      <c r="D11" s="10" t="n">
        <f aca="false">-D10*Inputs!$F$10</f>
        <v>-22.9632</v>
      </c>
      <c r="E11" s="10" t="n">
        <f aca="false">-E10*Inputs!$F$10</f>
        <v>-34.4448</v>
      </c>
      <c r="F11" s="10" t="n">
        <f aca="false">-F10*Inputs!$F$10</f>
        <v>-40.1856</v>
      </c>
      <c r="G11" s="10" t="n">
        <f aca="false">-G10*Inputs!$F$10</f>
        <v>-40.1856</v>
      </c>
      <c r="H11" s="10" t="n">
        <f aca="false">-H10*Inputs!$F$10</f>
        <v>-34.4448</v>
      </c>
      <c r="I11" s="10" t="n">
        <f aca="false">-I10*Inputs!$F$10</f>
        <v>-28.704</v>
      </c>
      <c r="J11" s="10" t="n">
        <f aca="false">-J10*Inputs!$F$10</f>
        <v>-22.9632</v>
      </c>
      <c r="K11" s="10" t="n">
        <f aca="false">-K10*Inputs!$F$10</f>
        <v>-22.9632</v>
      </c>
      <c r="L11" s="10" t="n">
        <f aca="false">-L10*Inputs!$F$10</f>
        <v>-22.9632</v>
      </c>
      <c r="M11" s="10" t="n">
        <f aca="false">-M10*Inputs!$F$10</f>
        <v>-34.4448</v>
      </c>
      <c r="N11" s="10" t="n">
        <f aca="false">-N10*Inputs!$F$10</f>
        <v>-45.9264</v>
      </c>
      <c r="O11" s="18" t="n">
        <f aca="false">SUM(C11:N11)</f>
        <v>-361.6704</v>
      </c>
    </row>
    <row r="12" customFormat="false" ht="15" hidden="false" customHeight="false" outlineLevel="0" collapsed="false">
      <c r="B12" s="2" t="s">
        <v>87</v>
      </c>
      <c r="C12" s="10" t="n">
        <f aca="false">-(C10+C11)*Inputs!$C$26</f>
        <v>-3.712384</v>
      </c>
      <c r="D12" s="10" t="n">
        <f aca="false">-(D10+D11)*Inputs!$C$26</f>
        <v>-7.424768</v>
      </c>
      <c r="E12" s="10" t="n">
        <f aca="false">-(E10+E11)*Inputs!$C$26</f>
        <v>-11.137152</v>
      </c>
      <c r="F12" s="10" t="n">
        <f aca="false">-(F10+F11)*Inputs!$C$26</f>
        <v>-12.993344</v>
      </c>
      <c r="G12" s="10" t="n">
        <f aca="false">-(G10+G11)*Inputs!$C$26</f>
        <v>-12.993344</v>
      </c>
      <c r="H12" s="10" t="n">
        <f aca="false">-(H10+H11)*Inputs!$C$26</f>
        <v>-11.137152</v>
      </c>
      <c r="I12" s="10" t="n">
        <f aca="false">-(I10+I11)*Inputs!$C$26</f>
        <v>-9.28096</v>
      </c>
      <c r="J12" s="10" t="n">
        <f aca="false">-(J10+J11)*Inputs!$C$26</f>
        <v>-7.424768</v>
      </c>
      <c r="K12" s="10" t="n">
        <f aca="false">-(K10+K11)*Inputs!$C$26</f>
        <v>-7.424768</v>
      </c>
      <c r="L12" s="10" t="n">
        <f aca="false">-(L10+L11)*Inputs!$C$26</f>
        <v>-7.424768</v>
      </c>
      <c r="M12" s="10" t="n">
        <f aca="false">-(M10+M11)*Inputs!$C$26</f>
        <v>-11.137152</v>
      </c>
      <c r="N12" s="10" t="n">
        <f aca="false">-(N10+N11)*Inputs!$C$26</f>
        <v>-14.849536</v>
      </c>
      <c r="O12" s="18" t="n">
        <f aca="false">SUM(C12:N12)</f>
        <v>-116.940096</v>
      </c>
    </row>
    <row r="13" customFormat="false" ht="15" hidden="false" customHeight="false" outlineLevel="0" collapsed="false">
      <c r="B13" s="2" t="s">
        <v>88</v>
      </c>
      <c r="C13" s="10" t="n">
        <f aca="false">-C5*Inputs!$F$11</f>
        <v>-150</v>
      </c>
      <c r="D13" s="10" t="n">
        <f aca="false">-D5*Inputs!$F$11</f>
        <v>-300</v>
      </c>
      <c r="E13" s="10" t="n">
        <f aca="false">-E5*Inputs!$F$11</f>
        <v>-450</v>
      </c>
      <c r="F13" s="10" t="n">
        <f aca="false">-F5*Inputs!$F$11</f>
        <v>-525</v>
      </c>
      <c r="G13" s="10" t="n">
        <f aca="false">-G5*Inputs!$F$11</f>
        <v>-525</v>
      </c>
      <c r="H13" s="10" t="n">
        <f aca="false">-H5*Inputs!$F$11</f>
        <v>-450</v>
      </c>
      <c r="I13" s="10" t="n">
        <f aca="false">-I5*Inputs!$F$11</f>
        <v>-375</v>
      </c>
      <c r="J13" s="10" t="n">
        <f aca="false">-J5*Inputs!$F$11</f>
        <v>-300</v>
      </c>
      <c r="K13" s="10" t="n">
        <f aca="false">-K5*Inputs!$F$11</f>
        <v>-300</v>
      </c>
      <c r="L13" s="10" t="n">
        <f aca="false">-L5*Inputs!$F$11</f>
        <v>-300</v>
      </c>
      <c r="M13" s="10" t="n">
        <f aca="false">-M5*Inputs!$F$11</f>
        <v>-450</v>
      </c>
      <c r="N13" s="10" t="n">
        <f aca="false">-N5*Inputs!$F$11</f>
        <v>-600</v>
      </c>
      <c r="O13" s="18" t="n">
        <f aca="false">SUM(C13:N13)</f>
        <v>-4725</v>
      </c>
    </row>
    <row r="14" customFormat="false" ht="15" hidden="false" customHeight="false" outlineLevel="0" collapsed="false">
      <c r="B14" s="2" t="s">
        <v>89</v>
      </c>
      <c r="C14" s="10" t="n">
        <f aca="false">-Inputs!$F$22</f>
        <v>-15</v>
      </c>
      <c r="D14" s="10" t="n">
        <f aca="false">-Inputs!$F$22</f>
        <v>-15</v>
      </c>
      <c r="E14" s="10" t="n">
        <f aca="false">-Inputs!$F$22</f>
        <v>-15</v>
      </c>
      <c r="F14" s="10" t="n">
        <f aca="false">-Inputs!$F$22</f>
        <v>-15</v>
      </c>
      <c r="G14" s="10" t="n">
        <f aca="false">-Inputs!$F$22</f>
        <v>-15</v>
      </c>
      <c r="H14" s="10" t="n">
        <f aca="false">-Inputs!$F$22</f>
        <v>-15</v>
      </c>
      <c r="I14" s="10" t="n">
        <f aca="false">-Inputs!$F$22</f>
        <v>-15</v>
      </c>
      <c r="J14" s="10" t="n">
        <f aca="false">-Inputs!$F$22</f>
        <v>-15</v>
      </c>
      <c r="K14" s="10" t="n">
        <f aca="false">-Inputs!$F$22</f>
        <v>-15</v>
      </c>
      <c r="L14" s="10" t="n">
        <f aca="false">-Inputs!$F$22</f>
        <v>-15</v>
      </c>
      <c r="M14" s="10" t="n">
        <f aca="false">-Inputs!$F$22</f>
        <v>-15</v>
      </c>
      <c r="N14" s="10" t="n">
        <f aca="false">-Inputs!$F$22</f>
        <v>-15</v>
      </c>
      <c r="O14" s="18" t="n">
        <f aca="false">SUM(C14:N14)</f>
        <v>-180</v>
      </c>
    </row>
    <row r="15" customFormat="false" ht="15" hidden="false" customHeight="false" outlineLevel="0" collapsed="false">
      <c r="B15" s="3" t="s">
        <v>90</v>
      </c>
      <c r="C15" s="18" t="n">
        <f aca="false">SUM(C10:C14)</f>
        <v>202.526016</v>
      </c>
      <c r="D15" s="18" t="n">
        <f aca="false">SUM(D10:D14)</f>
        <v>420.052032</v>
      </c>
      <c r="E15" s="18" t="n">
        <f aca="false">SUM(E10:E14)</f>
        <v>637.578048</v>
      </c>
      <c r="F15" s="18" t="n">
        <f aca="false">SUM(F10:F14)</f>
        <v>746.341056</v>
      </c>
      <c r="G15" s="18" t="n">
        <f aca="false">SUM(G10:G14)</f>
        <v>746.341056</v>
      </c>
      <c r="H15" s="18" t="n">
        <f aca="false">SUM(H10:H14)</f>
        <v>637.578048</v>
      </c>
      <c r="I15" s="18" t="n">
        <f aca="false">SUM(I10:I14)</f>
        <v>528.81504</v>
      </c>
      <c r="J15" s="18" t="n">
        <f aca="false">SUM(J10:J14)</f>
        <v>420.052032</v>
      </c>
      <c r="K15" s="18" t="n">
        <f aca="false">SUM(K10:K14)</f>
        <v>420.052032</v>
      </c>
      <c r="L15" s="18" t="n">
        <f aca="false">SUM(L10:L14)</f>
        <v>420.052032</v>
      </c>
      <c r="M15" s="18" t="n">
        <f aca="false">SUM(M10:M14)</f>
        <v>637.578048</v>
      </c>
      <c r="N15" s="18" t="n">
        <f aca="false">SUM(N10:N14)</f>
        <v>855.104064</v>
      </c>
      <c r="O15" s="18" t="n">
        <f aca="false">SUM(C15:N15)</f>
        <v>6672.069504</v>
      </c>
    </row>
    <row r="16" customFormat="false" ht="15" hidden="false" customHeight="false" outlineLevel="0" collapsed="false">
      <c r="B16" s="2" t="s">
        <v>91</v>
      </c>
      <c r="C16" s="13" t="n">
        <f aca="false">IF(Inputs!$F$17&gt;0,ROUNDUP(C7/Inputs!$F$17,0),0)</f>
        <v>1</v>
      </c>
      <c r="D16" s="13" t="n">
        <f aca="false">IF(Inputs!$F$17&gt;0,ROUNDUP(D7/Inputs!$F$17,0),0)</f>
        <v>2</v>
      </c>
      <c r="E16" s="13" t="n">
        <f aca="false">IF(Inputs!$F$17&gt;0,ROUNDUP(E7/Inputs!$F$17,0),0)</f>
        <v>3</v>
      </c>
      <c r="F16" s="13" t="n">
        <f aca="false">IF(Inputs!$F$17&gt;0,ROUNDUP(F7/Inputs!$F$17,0),0)</f>
        <v>4</v>
      </c>
      <c r="G16" s="13" t="n">
        <f aca="false">IF(Inputs!$F$17&gt;0,ROUNDUP(G7/Inputs!$F$17,0),0)</f>
        <v>4</v>
      </c>
      <c r="H16" s="13" t="n">
        <f aca="false">IF(Inputs!$F$17&gt;0,ROUNDUP(H7/Inputs!$F$17,0),0)</f>
        <v>3</v>
      </c>
      <c r="I16" s="13" t="n">
        <f aca="false">IF(Inputs!$F$17&gt;0,ROUNDUP(I7/Inputs!$F$17,0),0)</f>
        <v>3</v>
      </c>
      <c r="J16" s="13" t="n">
        <f aca="false">IF(Inputs!$F$17&gt;0,ROUNDUP(J7/Inputs!$F$17,0),0)</f>
        <v>2</v>
      </c>
      <c r="K16" s="13" t="n">
        <f aca="false">IF(Inputs!$F$17&gt;0,ROUNDUP(K7/Inputs!$F$17,0),0)</f>
        <v>2</v>
      </c>
      <c r="L16" s="13" t="n">
        <f aca="false">IF(Inputs!$F$17&gt;0,ROUNDUP(L7/Inputs!$F$17,0),0)</f>
        <v>2</v>
      </c>
      <c r="M16" s="13" t="n">
        <f aca="false">IF(Inputs!$F$17&gt;0,ROUNDUP(M7/Inputs!$F$17,0),0)</f>
        <v>3</v>
      </c>
      <c r="N16" s="13" t="n">
        <f aca="false">IF(Inputs!$F$17&gt;0,ROUNDUP(N7/Inputs!$F$17,0),0)</f>
        <v>4</v>
      </c>
    </row>
    <row r="17" customFormat="false" ht="15" hidden="false" customHeight="false" outlineLevel="0" collapsed="false">
      <c r="B17" s="2" t="s">
        <v>92</v>
      </c>
      <c r="C17" s="15" t="n">
        <f aca="false">C5*Inputs!$F$12/60</f>
        <v>1.16666666666667</v>
      </c>
      <c r="D17" s="15" t="n">
        <f aca="false">D5*Inputs!$F$12/60</f>
        <v>2.33333333333333</v>
      </c>
      <c r="E17" s="15" t="n">
        <f aca="false">E5*Inputs!$F$12/60</f>
        <v>3.5</v>
      </c>
      <c r="F17" s="15" t="n">
        <f aca="false">F5*Inputs!$F$12/60</f>
        <v>4.08333333333333</v>
      </c>
      <c r="G17" s="15" t="n">
        <f aca="false">G5*Inputs!$F$12/60</f>
        <v>4.08333333333333</v>
      </c>
      <c r="H17" s="15" t="n">
        <f aca="false">H5*Inputs!$F$12/60</f>
        <v>3.5</v>
      </c>
      <c r="I17" s="15" t="n">
        <f aca="false">I5*Inputs!$F$12/60</f>
        <v>2.91666666666667</v>
      </c>
      <c r="J17" s="15" t="n">
        <f aca="false">J5*Inputs!$F$12/60</f>
        <v>2.33333333333333</v>
      </c>
      <c r="K17" s="15" t="n">
        <f aca="false">K5*Inputs!$F$12/60</f>
        <v>2.33333333333333</v>
      </c>
      <c r="L17" s="15" t="n">
        <f aca="false">L5*Inputs!$F$12/60</f>
        <v>2.33333333333333</v>
      </c>
      <c r="M17" s="15" t="n">
        <f aca="false">M5*Inputs!$F$12/60</f>
        <v>3.5</v>
      </c>
      <c r="N17" s="15" t="n">
        <f aca="false">N5*Inputs!$F$12/60</f>
        <v>4.66666666666667</v>
      </c>
      <c r="O17" s="22" t="n">
        <f aca="false">SUM(C17:N17)</f>
        <v>36.75</v>
      </c>
    </row>
    <row r="18" customFormat="false" ht="15" hidden="false" customHeight="false" outlineLevel="0" collapsed="false">
      <c r="B18" s="2" t="s">
        <v>93</v>
      </c>
      <c r="C18" s="15" t="n">
        <f aca="false">C7*Inputs!$F$13/60</f>
        <v>0.52</v>
      </c>
      <c r="D18" s="15" t="n">
        <f aca="false">D7*Inputs!$F$13/60</f>
        <v>1.04</v>
      </c>
      <c r="E18" s="15" t="n">
        <f aca="false">E7*Inputs!$F$13/60</f>
        <v>1.56</v>
      </c>
      <c r="F18" s="15" t="n">
        <f aca="false">F7*Inputs!$F$13/60</f>
        <v>1.82</v>
      </c>
      <c r="G18" s="15" t="n">
        <f aca="false">G7*Inputs!$F$13/60</f>
        <v>1.82</v>
      </c>
      <c r="H18" s="15" t="n">
        <f aca="false">H7*Inputs!$F$13/60</f>
        <v>1.56</v>
      </c>
      <c r="I18" s="15" t="n">
        <f aca="false">I7*Inputs!$F$13/60</f>
        <v>1.3</v>
      </c>
      <c r="J18" s="15" t="n">
        <f aca="false">J7*Inputs!$F$13/60</f>
        <v>1.04</v>
      </c>
      <c r="K18" s="15" t="n">
        <f aca="false">K7*Inputs!$F$13/60</f>
        <v>1.04</v>
      </c>
      <c r="L18" s="15" t="n">
        <f aca="false">L7*Inputs!$F$13/60</f>
        <v>1.04</v>
      </c>
      <c r="M18" s="15" t="n">
        <f aca="false">M7*Inputs!$F$13/60</f>
        <v>1.56</v>
      </c>
      <c r="N18" s="15" t="n">
        <f aca="false">N7*Inputs!$F$13/60</f>
        <v>2.08</v>
      </c>
      <c r="O18" s="22" t="n">
        <f aca="false">SUM(C18:N18)</f>
        <v>16.38</v>
      </c>
    </row>
    <row r="19" customFormat="false" ht="15" hidden="false" customHeight="false" outlineLevel="0" collapsed="false">
      <c r="B19" s="2" t="s">
        <v>94</v>
      </c>
      <c r="C19" s="15" t="n">
        <f aca="false">C8*Inputs!$F$14/60</f>
        <v>0.104</v>
      </c>
      <c r="D19" s="15" t="n">
        <f aca="false">D8*Inputs!$F$14/60</f>
        <v>0.208</v>
      </c>
      <c r="E19" s="15" t="n">
        <f aca="false">E8*Inputs!$F$14/60</f>
        <v>0.312</v>
      </c>
      <c r="F19" s="15" t="n">
        <f aca="false">F8*Inputs!$F$14/60</f>
        <v>0.364</v>
      </c>
      <c r="G19" s="15" t="n">
        <f aca="false">G8*Inputs!$F$14/60</f>
        <v>0.364</v>
      </c>
      <c r="H19" s="15" t="n">
        <f aca="false">H8*Inputs!$F$14/60</f>
        <v>0.312</v>
      </c>
      <c r="I19" s="15" t="n">
        <f aca="false">I8*Inputs!$F$14/60</f>
        <v>0.26</v>
      </c>
      <c r="J19" s="15" t="n">
        <f aca="false">J8*Inputs!$F$14/60</f>
        <v>0.208</v>
      </c>
      <c r="K19" s="15" t="n">
        <f aca="false">K8*Inputs!$F$14/60</f>
        <v>0.208</v>
      </c>
      <c r="L19" s="15" t="n">
        <f aca="false">L8*Inputs!$F$14/60</f>
        <v>0.208</v>
      </c>
      <c r="M19" s="15" t="n">
        <f aca="false">M8*Inputs!$F$14/60</f>
        <v>0.312</v>
      </c>
      <c r="N19" s="15" t="n">
        <f aca="false">N8*Inputs!$F$14/60</f>
        <v>0.416</v>
      </c>
      <c r="O19" s="22" t="n">
        <f aca="false">SUM(C19:N19)</f>
        <v>3.276</v>
      </c>
    </row>
    <row r="20" customFormat="false" ht="15" hidden="false" customHeight="false" outlineLevel="0" collapsed="false">
      <c r="B20" s="2" t="s">
        <v>95</v>
      </c>
      <c r="C20" s="15" t="n">
        <f aca="false">C16*Inputs!$F$18/60</f>
        <v>0.333333333333333</v>
      </c>
      <c r="D20" s="15" t="n">
        <f aca="false">D16*Inputs!$F$18/60</f>
        <v>0.666666666666667</v>
      </c>
      <c r="E20" s="15" t="n">
        <f aca="false">E16*Inputs!$F$18/60</f>
        <v>1</v>
      </c>
      <c r="F20" s="15" t="n">
        <f aca="false">F16*Inputs!$F$18/60</f>
        <v>1.33333333333333</v>
      </c>
      <c r="G20" s="15" t="n">
        <f aca="false">G16*Inputs!$F$18/60</f>
        <v>1.33333333333333</v>
      </c>
      <c r="H20" s="15" t="n">
        <f aca="false">H16*Inputs!$F$18/60</f>
        <v>1</v>
      </c>
      <c r="I20" s="15" t="n">
        <f aca="false">I16*Inputs!$F$18/60</f>
        <v>1</v>
      </c>
      <c r="J20" s="15" t="n">
        <f aca="false">J16*Inputs!$F$18/60</f>
        <v>0.666666666666667</v>
      </c>
      <c r="K20" s="15" t="n">
        <f aca="false">K16*Inputs!$F$18/60</f>
        <v>0.666666666666667</v>
      </c>
      <c r="L20" s="15" t="n">
        <f aca="false">L16*Inputs!$F$18/60</f>
        <v>0.666666666666667</v>
      </c>
      <c r="M20" s="15" t="n">
        <f aca="false">M16*Inputs!$F$18/60</f>
        <v>1</v>
      </c>
      <c r="N20" s="15" t="n">
        <f aca="false">N16*Inputs!$F$18/60</f>
        <v>1.33333333333333</v>
      </c>
      <c r="O20" s="22" t="n">
        <f aca="false">SUM(C20:N20)</f>
        <v>11</v>
      </c>
    </row>
    <row r="21" customFormat="false" ht="15" hidden="false" customHeight="false" outlineLevel="0" collapsed="false">
      <c r="B21" s="2" t="s">
        <v>96</v>
      </c>
      <c r="C21" s="15" t="n">
        <f aca="false">C16*Inputs!$F$16*Inputs!$F$15</f>
        <v>0.28</v>
      </c>
      <c r="D21" s="15" t="n">
        <f aca="false">D16*Inputs!$F$16*Inputs!$F$15</f>
        <v>0.56</v>
      </c>
      <c r="E21" s="15" t="n">
        <f aca="false">E16*Inputs!$F$16*Inputs!$F$15</f>
        <v>0.84</v>
      </c>
      <c r="F21" s="15" t="n">
        <f aca="false">F16*Inputs!$F$16*Inputs!$F$15</f>
        <v>1.12</v>
      </c>
      <c r="G21" s="15" t="n">
        <f aca="false">G16*Inputs!$F$16*Inputs!$F$15</f>
        <v>1.12</v>
      </c>
      <c r="H21" s="15" t="n">
        <f aca="false">H16*Inputs!$F$16*Inputs!$F$15</f>
        <v>0.84</v>
      </c>
      <c r="I21" s="15" t="n">
        <f aca="false">I16*Inputs!$F$16*Inputs!$F$15</f>
        <v>0.84</v>
      </c>
      <c r="J21" s="15" t="n">
        <f aca="false">J16*Inputs!$F$16*Inputs!$F$15</f>
        <v>0.56</v>
      </c>
      <c r="K21" s="15" t="n">
        <f aca="false">K16*Inputs!$F$16*Inputs!$F$15</f>
        <v>0.56</v>
      </c>
      <c r="L21" s="15" t="n">
        <f aca="false">L16*Inputs!$F$16*Inputs!$F$15</f>
        <v>0.56</v>
      </c>
      <c r="M21" s="15" t="n">
        <f aca="false">M16*Inputs!$F$16*Inputs!$F$15</f>
        <v>0.84</v>
      </c>
      <c r="N21" s="15" t="n">
        <f aca="false">N16*Inputs!$F$16*Inputs!$F$15</f>
        <v>1.12</v>
      </c>
      <c r="O21" s="22" t="n">
        <f aca="false">SUM(C21:N21)</f>
        <v>9.24</v>
      </c>
    </row>
    <row r="22" customFormat="false" ht="15" hidden="false" customHeight="false" outlineLevel="0" collapsed="false">
      <c r="B22" s="2" t="s">
        <v>97</v>
      </c>
      <c r="C22" s="15" t="n">
        <f aca="false">Inputs!$F$19+Inputs!$F$20+Inputs!$F$21</f>
        <v>8</v>
      </c>
      <c r="D22" s="15" t="n">
        <f aca="false">Inputs!$F$19+Inputs!$F$20+Inputs!$F$21</f>
        <v>8</v>
      </c>
      <c r="E22" s="15" t="n">
        <f aca="false">Inputs!$F$19+Inputs!$F$20+Inputs!$F$21</f>
        <v>8</v>
      </c>
      <c r="F22" s="15" t="n">
        <f aca="false">Inputs!$F$19+Inputs!$F$20+Inputs!$F$21</f>
        <v>8</v>
      </c>
      <c r="G22" s="15" t="n">
        <f aca="false">Inputs!$F$19+Inputs!$F$20+Inputs!$F$21</f>
        <v>8</v>
      </c>
      <c r="H22" s="15" t="n">
        <f aca="false">Inputs!$F$19+Inputs!$F$20+Inputs!$F$21</f>
        <v>8</v>
      </c>
      <c r="I22" s="15" t="n">
        <f aca="false">Inputs!$F$19+Inputs!$F$20+Inputs!$F$21</f>
        <v>8</v>
      </c>
      <c r="J22" s="15" t="n">
        <f aca="false">Inputs!$F$19+Inputs!$F$20+Inputs!$F$21</f>
        <v>8</v>
      </c>
      <c r="K22" s="15" t="n">
        <f aca="false">Inputs!$F$19+Inputs!$F$20+Inputs!$F$21</f>
        <v>8</v>
      </c>
      <c r="L22" s="15" t="n">
        <f aca="false">Inputs!$F$19+Inputs!$F$20+Inputs!$F$21</f>
        <v>8</v>
      </c>
      <c r="M22" s="15" t="n">
        <f aca="false">Inputs!$F$19+Inputs!$F$20+Inputs!$F$21</f>
        <v>8</v>
      </c>
      <c r="N22" s="15" t="n">
        <f aca="false">Inputs!$F$19+Inputs!$F$20+Inputs!$F$21</f>
        <v>8</v>
      </c>
      <c r="O22" s="22" t="n">
        <f aca="false">SUM(C22:N22)</f>
        <v>96</v>
      </c>
    </row>
    <row r="23" customFormat="false" ht="15" hidden="false" customHeight="false" outlineLevel="0" collapsed="false">
      <c r="B23" s="3" t="s">
        <v>98</v>
      </c>
      <c r="C23" s="15" t="n">
        <f aca="false">SUM(C17:C22)</f>
        <v>10.404</v>
      </c>
      <c r="D23" s="15" t="n">
        <f aca="false">SUM(D17:D22)</f>
        <v>12.808</v>
      </c>
      <c r="E23" s="15" t="n">
        <f aca="false">SUM(E17:E22)</f>
        <v>15.212</v>
      </c>
      <c r="F23" s="15" t="n">
        <f aca="false">SUM(F17:F22)</f>
        <v>16.7206666666667</v>
      </c>
      <c r="G23" s="15" t="n">
        <f aca="false">SUM(G17:G22)</f>
        <v>16.7206666666667</v>
      </c>
      <c r="H23" s="15" t="n">
        <f aca="false">SUM(H17:H22)</f>
        <v>15.212</v>
      </c>
      <c r="I23" s="15" t="n">
        <f aca="false">SUM(I17:I22)</f>
        <v>14.3166666666667</v>
      </c>
      <c r="J23" s="15" t="n">
        <f aca="false">SUM(J17:J22)</f>
        <v>12.808</v>
      </c>
      <c r="K23" s="15" t="n">
        <f aca="false">SUM(K17:K22)</f>
        <v>12.808</v>
      </c>
      <c r="L23" s="15" t="n">
        <f aca="false">SUM(L17:L22)</f>
        <v>12.808</v>
      </c>
      <c r="M23" s="15" t="n">
        <f aca="false">SUM(M17:M22)</f>
        <v>15.212</v>
      </c>
      <c r="N23" s="15" t="n">
        <f aca="false">SUM(N17:N22)</f>
        <v>17.616</v>
      </c>
      <c r="O23" s="22" t="n">
        <f aca="false">SUM(C23:N23)</f>
        <v>172.646</v>
      </c>
    </row>
    <row r="24" customFormat="false" ht="15" hidden="false" customHeight="false" outlineLevel="0" collapsed="false">
      <c r="B24" s="2" t="s">
        <v>99</v>
      </c>
      <c r="C24" s="13" t="n">
        <f aca="false">C23*60/Inputs!$C$29</f>
        <v>29.7257142857143</v>
      </c>
      <c r="D24" s="13" t="n">
        <f aca="false">D23*60/Inputs!$C$29</f>
        <v>36.5942857142857</v>
      </c>
      <c r="E24" s="13" t="n">
        <f aca="false">E23*60/Inputs!$C$29</f>
        <v>43.4628571428571</v>
      </c>
      <c r="F24" s="13" t="n">
        <f aca="false">F23*60/Inputs!$C$29</f>
        <v>47.7733333333333</v>
      </c>
      <c r="G24" s="13" t="n">
        <f aca="false">G23*60/Inputs!$C$29</f>
        <v>47.7733333333333</v>
      </c>
      <c r="H24" s="13" t="n">
        <f aca="false">H23*60/Inputs!$C$29</f>
        <v>43.4628571428571</v>
      </c>
      <c r="I24" s="13" t="n">
        <f aca="false">I23*60/Inputs!$C$29</f>
        <v>40.9047619047619</v>
      </c>
      <c r="J24" s="13" t="n">
        <f aca="false">J23*60/Inputs!$C$29</f>
        <v>36.5942857142857</v>
      </c>
      <c r="K24" s="13" t="n">
        <f aca="false">K23*60/Inputs!$C$29</f>
        <v>36.5942857142857</v>
      </c>
      <c r="L24" s="13" t="n">
        <f aca="false">L23*60/Inputs!$C$29</f>
        <v>36.5942857142857</v>
      </c>
      <c r="M24" s="13" t="n">
        <f aca="false">M23*60/Inputs!$C$29</f>
        <v>43.4628571428571</v>
      </c>
      <c r="N24" s="13" t="n">
        <f aca="false">N23*60/Inputs!$C$29</f>
        <v>50.3314285714286</v>
      </c>
    </row>
    <row r="25" customFormat="false" ht="15" hidden="false" customHeight="false" outlineLevel="0" collapsed="false">
      <c r="B25" s="2" t="s">
        <v>100</v>
      </c>
      <c r="C25" s="10" t="n">
        <f aca="false">-C23*Inputs!$C$25</f>
        <v>-780.3</v>
      </c>
      <c r="D25" s="10" t="n">
        <f aca="false">-D23*Inputs!$C$25</f>
        <v>-960.6</v>
      </c>
      <c r="E25" s="10" t="n">
        <f aca="false">-E23*Inputs!$C$25</f>
        <v>-1140.9</v>
      </c>
      <c r="F25" s="10" t="n">
        <f aca="false">-F23*Inputs!$C$25</f>
        <v>-1254.05</v>
      </c>
      <c r="G25" s="10" t="n">
        <f aca="false">-G23*Inputs!$C$25</f>
        <v>-1254.05</v>
      </c>
      <c r="H25" s="10" t="n">
        <f aca="false">-H23*Inputs!$C$25</f>
        <v>-1140.9</v>
      </c>
      <c r="I25" s="10" t="n">
        <f aca="false">-I23*Inputs!$C$25</f>
        <v>-1073.75</v>
      </c>
      <c r="J25" s="10" t="n">
        <f aca="false">-J23*Inputs!$C$25</f>
        <v>-960.6</v>
      </c>
      <c r="K25" s="10" t="n">
        <f aca="false">-K23*Inputs!$C$25</f>
        <v>-960.6</v>
      </c>
      <c r="L25" s="10" t="n">
        <f aca="false">-L23*Inputs!$C$25</f>
        <v>-960.6</v>
      </c>
      <c r="M25" s="10" t="n">
        <f aca="false">-M23*Inputs!$C$25</f>
        <v>-1140.9</v>
      </c>
      <c r="N25" s="10" t="n">
        <f aca="false">-N23*Inputs!$C$25</f>
        <v>-1321.2</v>
      </c>
      <c r="O25" s="18" t="n">
        <f aca="false">SUM(C25:N25)</f>
        <v>-12948.45</v>
      </c>
    </row>
    <row r="26" customFormat="false" ht="15" hidden="false" customHeight="false" outlineLevel="0" collapsed="false">
      <c r="B26" s="3" t="s">
        <v>101</v>
      </c>
      <c r="C26" s="18" t="n">
        <f aca="false">C15+C25</f>
        <v>-577.773984</v>
      </c>
      <c r="D26" s="18" t="n">
        <f aca="false">D15+D25</f>
        <v>-540.547968</v>
      </c>
      <c r="E26" s="18" t="n">
        <f aca="false">E15+E25</f>
        <v>-503.321952</v>
      </c>
      <c r="F26" s="18" t="n">
        <f aca="false">F15+F25</f>
        <v>-507.708944</v>
      </c>
      <c r="G26" s="18" t="n">
        <f aca="false">G15+G25</f>
        <v>-507.708944</v>
      </c>
      <c r="H26" s="18" t="n">
        <f aca="false">H15+H25</f>
        <v>-503.321952</v>
      </c>
      <c r="I26" s="18" t="n">
        <f aca="false">I15+I25</f>
        <v>-544.93496</v>
      </c>
      <c r="J26" s="18" t="n">
        <f aca="false">J15+J25</f>
        <v>-540.547968</v>
      </c>
      <c r="K26" s="18" t="n">
        <f aca="false">K15+K25</f>
        <v>-540.547968</v>
      </c>
      <c r="L26" s="18" t="n">
        <f aca="false">L15+L25</f>
        <v>-540.547968</v>
      </c>
      <c r="M26" s="18" t="n">
        <f aca="false">M15+M25</f>
        <v>-503.321952</v>
      </c>
      <c r="N26" s="18" t="n">
        <f aca="false">N15+N25</f>
        <v>-466.095936</v>
      </c>
      <c r="O26" s="18" t="n">
        <f aca="false">SUM(C26:N26)</f>
        <v>-6276.380496</v>
      </c>
    </row>
    <row r="27" customFormat="false" ht="15" hidden="false" customHeight="false" outlineLevel="0" collapsed="false">
      <c r="B27" s="2" t="s">
        <v>102</v>
      </c>
      <c r="C27" s="19" t="n">
        <f aca="false">IF(C23&gt;0,C15/C23,0)</f>
        <v>19.4661683967705</v>
      </c>
      <c r="D27" s="19" t="n">
        <f aca="false">IF(D23&gt;0,D15/D23,0)</f>
        <v>32.7960674578388</v>
      </c>
      <c r="E27" s="19" t="n">
        <f aca="false">IF(E23&gt;0,E15/E23,0)</f>
        <v>41.9128351301604</v>
      </c>
      <c r="F27" s="19" t="n">
        <f aca="false">IF(F23&gt;0,F15/F23,0)</f>
        <v>44.6358432279415</v>
      </c>
      <c r="G27" s="19" t="n">
        <f aca="false">IF(G23&gt;0,G15/G23,0)</f>
        <v>44.6358432279415</v>
      </c>
      <c r="H27" s="19" t="n">
        <f aca="false">IF(H23&gt;0,H15/H23,0)</f>
        <v>41.9128351301604</v>
      </c>
      <c r="I27" s="19" t="n">
        <f aca="false">IF(I23&gt;0,I15/I23,0)</f>
        <v>36.9370225844005</v>
      </c>
      <c r="J27" s="19" t="n">
        <f aca="false">IF(J23&gt;0,J15/J23,0)</f>
        <v>32.7960674578388</v>
      </c>
      <c r="K27" s="19" t="n">
        <f aca="false">IF(K23&gt;0,K15/K23,0)</f>
        <v>32.7960674578388</v>
      </c>
      <c r="L27" s="19" t="n">
        <f aca="false">IF(L23&gt;0,L15/L23,0)</f>
        <v>32.7960674578388</v>
      </c>
      <c r="M27" s="19" t="n">
        <f aca="false">IF(M23&gt;0,M15/M23,0)</f>
        <v>41.9128351301604</v>
      </c>
      <c r="N27" s="19" t="n">
        <f aca="false">IF(N23&gt;0,N15/N23,0)</f>
        <v>48.5413297002725</v>
      </c>
      <c r="O27" s="23" t="n">
        <f aca="false">IF(O23+O31+O33&gt;0,O34/(O23+O31+O33),0)</f>
        <v>32.5793230757084</v>
      </c>
    </row>
    <row r="28" customFormat="false" ht="15" hidden="false" customHeight="false" outlineLevel="0" collapsed="false">
      <c r="B28" s="2" t="s">
        <v>103</v>
      </c>
      <c r="C28" s="19" t="n">
        <f aca="false">IF(C6&gt;0,-C13/C6,0)</f>
        <v>23.0769230769231</v>
      </c>
      <c r="D28" s="19" t="n">
        <f aca="false">IF(D6&gt;0,-D13/D6,0)</f>
        <v>23.0769230769231</v>
      </c>
      <c r="E28" s="19" t="n">
        <f aca="false">IF(E6&gt;0,-E13/E6,0)</f>
        <v>23.0769230769231</v>
      </c>
      <c r="F28" s="19" t="n">
        <f aca="false">IF(F6&gt;0,-F13/F6,0)</f>
        <v>23.0769230769231</v>
      </c>
      <c r="G28" s="19" t="n">
        <f aca="false">IF(G6&gt;0,-G13/G6,0)</f>
        <v>23.0769230769231</v>
      </c>
      <c r="H28" s="19" t="n">
        <f aca="false">IF(H6&gt;0,-H13/H6,0)</f>
        <v>23.0769230769231</v>
      </c>
      <c r="I28" s="19" t="n">
        <f aca="false">IF(I6&gt;0,-I13/I6,0)</f>
        <v>23.0769230769231</v>
      </c>
      <c r="J28" s="19" t="n">
        <f aca="false">IF(J6&gt;0,-J13/J6,0)</f>
        <v>23.0769230769231</v>
      </c>
      <c r="K28" s="19" t="n">
        <f aca="false">IF(K6&gt;0,-K13/K6,0)</f>
        <v>23.0769230769231</v>
      </c>
      <c r="L28" s="19" t="n">
        <f aca="false">IF(L6&gt;0,-L13/L6,0)</f>
        <v>23.0769230769231</v>
      </c>
      <c r="M28" s="19" t="n">
        <f aca="false">IF(M6&gt;0,-M13/M6,0)</f>
        <v>23.0769230769231</v>
      </c>
      <c r="N28" s="19" t="n">
        <f aca="false">IF(N6&gt;0,-N13/N6,0)</f>
        <v>23.0769230769231</v>
      </c>
    </row>
    <row r="29" customFormat="false" ht="15" hidden="false" customHeight="false" outlineLevel="0" collapsed="false">
      <c r="B29" s="2" t="s">
        <v>104</v>
      </c>
      <c r="C29" s="19" t="n">
        <f aca="false">IF(C9&gt;0,-C13/C9,0)</f>
        <v>31.3545150501672</v>
      </c>
      <c r="D29" s="19" t="n">
        <f aca="false">IF(D9&gt;0,-D13/D9,0)</f>
        <v>31.3545150501672</v>
      </c>
      <c r="E29" s="19" t="n">
        <f aca="false">IF(E9&gt;0,-E13/E9,0)</f>
        <v>31.3545150501672</v>
      </c>
      <c r="F29" s="19" t="n">
        <f aca="false">IF(F9&gt;0,-F13/F9,0)</f>
        <v>31.3545150501672</v>
      </c>
      <c r="G29" s="19" t="n">
        <f aca="false">IF(G9&gt;0,-G13/G9,0)</f>
        <v>31.3545150501672</v>
      </c>
      <c r="H29" s="19" t="n">
        <f aca="false">IF(H9&gt;0,-H13/H9,0)</f>
        <v>31.3545150501672</v>
      </c>
      <c r="I29" s="19" t="n">
        <f aca="false">IF(I9&gt;0,-I13/I9,0)</f>
        <v>31.3545150501672</v>
      </c>
      <c r="J29" s="19" t="n">
        <f aca="false">IF(J9&gt;0,-J13/J9,0)</f>
        <v>31.3545150501672</v>
      </c>
      <c r="K29" s="19" t="n">
        <f aca="false">IF(K9&gt;0,-K13/K9,0)</f>
        <v>31.3545150501672</v>
      </c>
      <c r="L29" s="19" t="n">
        <f aca="false">IF(L9&gt;0,-L13/L9,0)</f>
        <v>31.3545150501672</v>
      </c>
      <c r="M29" s="19" t="n">
        <f aca="false">IF(M9&gt;0,-M13/M9,0)</f>
        <v>31.3545150501672</v>
      </c>
      <c r="N29" s="19" t="n">
        <f aca="false">IF(N9&gt;0,-N13/N9,0)</f>
        <v>31.3545150501672</v>
      </c>
    </row>
    <row r="30" customFormat="false" ht="15" hidden="false" customHeight="false" outlineLevel="0" collapsed="false">
      <c r="B30" s="2" t="s">
        <v>140</v>
      </c>
      <c r="C30" s="13" t="n">
        <f aca="false">MAX(0,C16-0)</f>
        <v>1</v>
      </c>
      <c r="D30" s="13" t="n">
        <f aca="false">MAX(0,D16-C16)</f>
        <v>1</v>
      </c>
      <c r="E30" s="13" t="n">
        <f aca="false">MAX(0,E16-D16)</f>
        <v>1</v>
      </c>
      <c r="F30" s="13" t="n">
        <f aca="false">MAX(0,F16-E16)</f>
        <v>1</v>
      </c>
      <c r="G30" s="13" t="n">
        <f aca="false">MAX(0,G16-F16)</f>
        <v>0</v>
      </c>
      <c r="H30" s="13" t="n">
        <f aca="false">MAX(0,H16-G16)</f>
        <v>0</v>
      </c>
      <c r="I30" s="13" t="n">
        <f aca="false">MAX(0,I16-H16)</f>
        <v>0</v>
      </c>
      <c r="J30" s="13" t="n">
        <f aca="false">MAX(0,J16-I16)</f>
        <v>0</v>
      </c>
      <c r="K30" s="13" t="n">
        <f aca="false">MAX(0,K16-J16)</f>
        <v>0</v>
      </c>
      <c r="L30" s="13" t="n">
        <f aca="false">MAX(0,L16-K16)</f>
        <v>0</v>
      </c>
      <c r="M30" s="13" t="n">
        <f aca="false">MAX(0,M16-L16)</f>
        <v>1</v>
      </c>
      <c r="N30" s="13" t="n">
        <f aca="false">MAX(0,N16-M16)</f>
        <v>1</v>
      </c>
    </row>
    <row r="31" customFormat="false" ht="15" hidden="false" customHeight="false" outlineLevel="0" collapsed="false">
      <c r="B31" s="2" t="s">
        <v>141</v>
      </c>
      <c r="C31" s="15" t="n">
        <f aca="false">C30*Inputs!$F$15</f>
        <v>4</v>
      </c>
      <c r="D31" s="15" t="n">
        <f aca="false">D30*Inputs!$F$15</f>
        <v>4</v>
      </c>
      <c r="E31" s="15" t="n">
        <f aca="false">E30*Inputs!$F$15</f>
        <v>4</v>
      </c>
      <c r="F31" s="15" t="n">
        <f aca="false">F30*Inputs!$F$15</f>
        <v>4</v>
      </c>
      <c r="G31" s="15" t="n">
        <f aca="false">G30*Inputs!$F$15</f>
        <v>0</v>
      </c>
      <c r="H31" s="15" t="n">
        <f aca="false">H30*Inputs!$F$15</f>
        <v>0</v>
      </c>
      <c r="I31" s="15" t="n">
        <f aca="false">I30*Inputs!$F$15</f>
        <v>0</v>
      </c>
      <c r="J31" s="15" t="n">
        <f aca="false">J30*Inputs!$F$15</f>
        <v>0</v>
      </c>
      <c r="K31" s="15" t="n">
        <f aca="false">K30*Inputs!$F$15</f>
        <v>0</v>
      </c>
      <c r="L31" s="15" t="n">
        <f aca="false">L30*Inputs!$F$15</f>
        <v>0</v>
      </c>
      <c r="M31" s="15" t="n">
        <f aca="false">M30*Inputs!$F$15</f>
        <v>4</v>
      </c>
      <c r="N31" s="15" t="n">
        <f aca="false">N30*Inputs!$F$15</f>
        <v>4</v>
      </c>
      <c r="O31" s="22" t="n">
        <f aca="false">SUM(C31:N31)</f>
        <v>24</v>
      </c>
    </row>
    <row r="32" customFormat="false" ht="15" hidden="false" customHeight="false" outlineLevel="0" collapsed="false">
      <c r="B32" s="2" t="s">
        <v>142</v>
      </c>
      <c r="C32" s="10" t="n">
        <f aca="false">-Inputs!$C$27</f>
        <v>-70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8" t="n">
        <f aca="false">SUM(C32:N32)</f>
        <v>-70</v>
      </c>
    </row>
    <row r="33" customFormat="false" ht="15" hidden="false" customHeight="false" outlineLevel="0" collapsed="false">
      <c r="B33" s="2" t="s">
        <v>143</v>
      </c>
      <c r="C33" s="15" t="n">
        <f aca="false">Inputs!$C$28</f>
        <v>6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22" t="n">
        <f aca="false">SUM(C33:N33)</f>
        <v>6</v>
      </c>
    </row>
    <row r="34" customFormat="false" ht="15" hidden="false" customHeight="false" outlineLevel="0" collapsed="false">
      <c r="B34" s="3" t="s">
        <v>144</v>
      </c>
      <c r="C34" s="18" t="n">
        <f aca="false">C15+C32</f>
        <v>132.526016</v>
      </c>
      <c r="D34" s="18" t="n">
        <f aca="false">D15+D32</f>
        <v>420.052032</v>
      </c>
      <c r="E34" s="18" t="n">
        <f aca="false">E15+E32</f>
        <v>637.578048</v>
      </c>
      <c r="F34" s="18" t="n">
        <f aca="false">F15+F32</f>
        <v>746.341056</v>
      </c>
      <c r="G34" s="18" t="n">
        <f aca="false">G15+G32</f>
        <v>746.341056</v>
      </c>
      <c r="H34" s="18" t="n">
        <f aca="false">H15+H32</f>
        <v>637.578048</v>
      </c>
      <c r="I34" s="18" t="n">
        <f aca="false">I15+I32</f>
        <v>528.81504</v>
      </c>
      <c r="J34" s="18" t="n">
        <f aca="false">J15+J32</f>
        <v>420.052032</v>
      </c>
      <c r="K34" s="18" t="n">
        <f aca="false">K15+K32</f>
        <v>420.052032</v>
      </c>
      <c r="L34" s="18" t="n">
        <f aca="false">L15+L32</f>
        <v>420.052032</v>
      </c>
      <c r="M34" s="18" t="n">
        <f aca="false">M15+M32</f>
        <v>637.578048</v>
      </c>
      <c r="N34" s="18" t="n">
        <f aca="false">N15+N32</f>
        <v>855.104064</v>
      </c>
      <c r="O34" s="18" t="n">
        <f aca="false">SUM(C34:N34)</f>
        <v>6602.069504</v>
      </c>
    </row>
    <row r="35" customFormat="false" ht="15" hidden="false" customHeight="false" outlineLevel="0" collapsed="false">
      <c r="B35" s="3" t="s">
        <v>145</v>
      </c>
      <c r="C35" s="18" t="n">
        <f aca="false">C26+C32-(C31+C33)*Inputs!$C$25</f>
        <v>-1397.773984</v>
      </c>
      <c r="D35" s="18" t="n">
        <f aca="false">D26+D32-(D31+D33)*Inputs!$C$25</f>
        <v>-840.547968</v>
      </c>
      <c r="E35" s="18" t="n">
        <f aca="false">E26+E32-(E31+E33)*Inputs!$C$25</f>
        <v>-803.321952</v>
      </c>
      <c r="F35" s="18" t="n">
        <f aca="false">F26+F32-(F31+F33)*Inputs!$C$25</f>
        <v>-807.708944</v>
      </c>
      <c r="G35" s="18" t="n">
        <f aca="false">G26+G32-(G31+G33)*Inputs!$C$25</f>
        <v>-507.708944</v>
      </c>
      <c r="H35" s="18" t="n">
        <f aca="false">H26+H32-(H31+H33)*Inputs!$C$25</f>
        <v>-503.321952</v>
      </c>
      <c r="I35" s="18" t="n">
        <f aca="false">I26+I32-(I31+I33)*Inputs!$C$25</f>
        <v>-544.93496</v>
      </c>
      <c r="J35" s="18" t="n">
        <f aca="false">J26+J32-(J31+J33)*Inputs!$C$25</f>
        <v>-540.547968</v>
      </c>
      <c r="K35" s="18" t="n">
        <f aca="false">K26+K32-(K31+K33)*Inputs!$C$25</f>
        <v>-540.547968</v>
      </c>
      <c r="L35" s="18" t="n">
        <f aca="false">L26+L32-(L31+L33)*Inputs!$C$25</f>
        <v>-540.547968</v>
      </c>
      <c r="M35" s="18" t="n">
        <f aca="false">M26+M32-(M31+M33)*Inputs!$C$25</f>
        <v>-803.321952</v>
      </c>
      <c r="N35" s="18" t="n">
        <f aca="false">N26+N32-(N31+N33)*Inputs!$C$25</f>
        <v>-766.095936</v>
      </c>
      <c r="O35" s="18" t="n">
        <f aca="false">SUM(C35:N35)</f>
        <v>-8596.380496</v>
      </c>
    </row>
    <row r="36" customFormat="false" ht="15" hidden="false" customHeight="false" outlineLevel="0" collapsed="false">
      <c r="B36" s="2" t="s">
        <v>146</v>
      </c>
      <c r="C36" s="18" t="n">
        <f aca="false">C35</f>
        <v>-1397.773984</v>
      </c>
      <c r="D36" s="18" t="n">
        <f aca="false">D35+C36</f>
        <v>-2238.321952</v>
      </c>
      <c r="E36" s="18" t="n">
        <f aca="false">E35+D36</f>
        <v>-3041.643904</v>
      </c>
      <c r="F36" s="18" t="n">
        <f aca="false">F35+E36</f>
        <v>-3849.352848</v>
      </c>
      <c r="G36" s="18" t="n">
        <f aca="false">G35+F36</f>
        <v>-4357.061792</v>
      </c>
      <c r="H36" s="18" t="n">
        <f aca="false">H35+G36</f>
        <v>-4860.383744</v>
      </c>
      <c r="I36" s="18" t="n">
        <f aca="false">I35+H36</f>
        <v>-5405.318704</v>
      </c>
      <c r="J36" s="18" t="n">
        <f aca="false">J35+I36</f>
        <v>-5945.866672</v>
      </c>
      <c r="K36" s="18" t="n">
        <f aca="false">K35+J36</f>
        <v>-6486.41464</v>
      </c>
      <c r="L36" s="18" t="n">
        <f aca="false">L35+K36</f>
        <v>-7026.962608</v>
      </c>
      <c r="M36" s="18" t="n">
        <f aca="false">M35+L36</f>
        <v>-7830.28456</v>
      </c>
      <c r="N36" s="18" t="n">
        <f aca="false">N35+M36</f>
        <v>-8596.380496</v>
      </c>
    </row>
    <row r="37" customFormat="false" ht="15" hidden="false" customHeight="false" outlineLevel="0" collapsed="false">
      <c r="B37" s="2" t="s">
        <v>147</v>
      </c>
      <c r="C37" s="10" t="n">
        <v>0</v>
      </c>
      <c r="D37" s="10" t="n">
        <f aca="false">C10+C11+C12</f>
        <v>367.526016</v>
      </c>
      <c r="E37" s="10" t="n">
        <f aca="false">D10+D11+D12</f>
        <v>735.052032</v>
      </c>
      <c r="F37" s="10" t="n">
        <f aca="false">E10+E11+E12</f>
        <v>1102.578048</v>
      </c>
      <c r="G37" s="10" t="n">
        <f aca="false">F10+F11+F12</f>
        <v>1286.341056</v>
      </c>
      <c r="H37" s="10" t="n">
        <f aca="false">G10+G11+G12</f>
        <v>1286.341056</v>
      </c>
      <c r="I37" s="10" t="n">
        <f aca="false">H10+H11+H12</f>
        <v>1102.578048</v>
      </c>
      <c r="J37" s="10" t="n">
        <f aca="false">I10+I11+I12</f>
        <v>918.81504</v>
      </c>
      <c r="K37" s="10" t="n">
        <f aca="false">J10+J11+J12</f>
        <v>735.052032</v>
      </c>
      <c r="L37" s="10" t="n">
        <f aca="false">K10+K11+K12</f>
        <v>735.052032</v>
      </c>
      <c r="M37" s="10" t="n">
        <f aca="false">L10+L11+L12</f>
        <v>735.052032</v>
      </c>
      <c r="N37" s="10" t="n">
        <f aca="false">M10+M11+M12</f>
        <v>1102.578048</v>
      </c>
      <c r="O37" s="18" t="n">
        <f aca="false">SUM(C37:N37)</f>
        <v>10106.96544</v>
      </c>
    </row>
    <row r="38" customFormat="false" ht="15" hidden="false" customHeight="false" outlineLevel="0" collapsed="false">
      <c r="B38" s="2" t="s">
        <v>148</v>
      </c>
      <c r="C38" s="10" t="n">
        <f aca="false">C13+C14+C32</f>
        <v>-235</v>
      </c>
      <c r="D38" s="10" t="n">
        <f aca="false">D13+D14+D32</f>
        <v>-315</v>
      </c>
      <c r="E38" s="10" t="n">
        <f aca="false">E13+E14+E32</f>
        <v>-465</v>
      </c>
      <c r="F38" s="10" t="n">
        <f aca="false">F13+F14+F32</f>
        <v>-540</v>
      </c>
      <c r="G38" s="10" t="n">
        <f aca="false">G13+G14+G32</f>
        <v>-540</v>
      </c>
      <c r="H38" s="10" t="n">
        <f aca="false">H13+H14+H32</f>
        <v>-465</v>
      </c>
      <c r="I38" s="10" t="n">
        <f aca="false">I13+I14+I32</f>
        <v>-390</v>
      </c>
      <c r="J38" s="10" t="n">
        <f aca="false">J13+J14+J32</f>
        <v>-315</v>
      </c>
      <c r="K38" s="10" t="n">
        <f aca="false">K13+K14+K32</f>
        <v>-315</v>
      </c>
      <c r="L38" s="10" t="n">
        <f aca="false">L13+L14+L32</f>
        <v>-315</v>
      </c>
      <c r="M38" s="10" t="n">
        <f aca="false">M13+M14+M32</f>
        <v>-465</v>
      </c>
      <c r="N38" s="10" t="n">
        <f aca="false">N13+N14+N32</f>
        <v>-615</v>
      </c>
      <c r="O38" s="18" t="n">
        <f aca="false">SUM(C38:N38)</f>
        <v>-4975</v>
      </c>
    </row>
    <row r="39" customFormat="false" ht="15" hidden="false" customHeight="false" outlineLevel="0" collapsed="false">
      <c r="B39" s="2" t="s">
        <v>149</v>
      </c>
      <c r="C39" s="10" t="n">
        <f aca="false">C37+C38</f>
        <v>-235</v>
      </c>
      <c r="D39" s="10" t="n">
        <f aca="false">D37+D38</f>
        <v>52.526016</v>
      </c>
      <c r="E39" s="10" t="n">
        <f aca="false">E37+E38</f>
        <v>270.052032</v>
      </c>
      <c r="F39" s="10" t="n">
        <f aca="false">F37+F38</f>
        <v>562.578048</v>
      </c>
      <c r="G39" s="10" t="n">
        <f aca="false">G37+G38</f>
        <v>746.341056</v>
      </c>
      <c r="H39" s="10" t="n">
        <f aca="false">H37+H38</f>
        <v>821.341056</v>
      </c>
      <c r="I39" s="10" t="n">
        <f aca="false">I37+I38</f>
        <v>712.578048</v>
      </c>
      <c r="J39" s="10" t="n">
        <f aca="false">J37+J38</f>
        <v>603.81504</v>
      </c>
      <c r="K39" s="10" t="n">
        <f aca="false">K37+K38</f>
        <v>420.052032</v>
      </c>
      <c r="L39" s="10" t="n">
        <f aca="false">L37+L38</f>
        <v>420.052032</v>
      </c>
      <c r="M39" s="10" t="n">
        <f aca="false">M37+M38</f>
        <v>270.052032</v>
      </c>
      <c r="N39" s="10" t="n">
        <f aca="false">N37+N38</f>
        <v>487.578048</v>
      </c>
      <c r="O39" s="18" t="n">
        <f aca="false">SUM(C39:N39)</f>
        <v>5131.96544</v>
      </c>
    </row>
    <row r="40" customFormat="false" ht="15" hidden="false" customHeight="false" outlineLevel="0" collapsed="false">
      <c r="B40" s="3" t="s">
        <v>150</v>
      </c>
      <c r="C40" s="18" t="n">
        <f aca="false">C39</f>
        <v>-235</v>
      </c>
      <c r="D40" s="18" t="n">
        <f aca="false">D39+C40</f>
        <v>-182.473984</v>
      </c>
      <c r="E40" s="18" t="n">
        <f aca="false">E39+D40</f>
        <v>87.5780479999999</v>
      </c>
      <c r="F40" s="18" t="n">
        <f aca="false">F39+E40</f>
        <v>650.156096</v>
      </c>
      <c r="G40" s="18" t="n">
        <f aca="false">G39+F40</f>
        <v>1396.497152</v>
      </c>
      <c r="H40" s="18" t="n">
        <f aca="false">H39+G40</f>
        <v>2217.838208</v>
      </c>
      <c r="I40" s="18" t="n">
        <f aca="false">I39+H40</f>
        <v>2930.416256</v>
      </c>
      <c r="J40" s="18" t="n">
        <f aca="false">J39+I40</f>
        <v>3534.231296</v>
      </c>
      <c r="K40" s="18" t="n">
        <f aca="false">K39+J40</f>
        <v>3954.283328</v>
      </c>
      <c r="L40" s="18" t="n">
        <f aca="false">L39+K40</f>
        <v>4374.33536</v>
      </c>
      <c r="M40" s="18" t="n">
        <f aca="false">M39+L40</f>
        <v>4644.387392</v>
      </c>
      <c r="N40" s="18" t="n">
        <f aca="false">N39+M40</f>
        <v>5131.96544</v>
      </c>
    </row>
    <row r="41" customFormat="false" ht="15" hidden="false" customHeight="false" outlineLevel="0" collapsed="false">
      <c r="B41" s="2" t="s">
        <v>151</v>
      </c>
      <c r="C41" s="10" t="n">
        <f aca="false">MIN(0,MIN($C$40:C40))</f>
        <v>-235</v>
      </c>
      <c r="D41" s="10" t="n">
        <f aca="false">MIN(0,MIN($C$40:D40))</f>
        <v>-235</v>
      </c>
      <c r="E41" s="10" t="n">
        <f aca="false">MIN(0,MIN($C$40:E40))</f>
        <v>-235</v>
      </c>
      <c r="F41" s="10" t="n">
        <f aca="false">MIN(0,MIN($C$40:F40))</f>
        <v>-235</v>
      </c>
      <c r="G41" s="10" t="n">
        <f aca="false">MIN(0,MIN($C$40:G40))</f>
        <v>-235</v>
      </c>
      <c r="H41" s="10" t="n">
        <f aca="false">MIN(0,MIN($C$40:H40))</f>
        <v>-235</v>
      </c>
      <c r="I41" s="10" t="n">
        <f aca="false">MIN(0,MIN($C$40:I40))</f>
        <v>-235</v>
      </c>
      <c r="J41" s="10" t="n">
        <f aca="false">MIN(0,MIN($C$40:J40))</f>
        <v>-235</v>
      </c>
      <c r="K41" s="10" t="n">
        <f aca="false">MIN(0,MIN($C$40:K40))</f>
        <v>-235</v>
      </c>
      <c r="L41" s="10" t="n">
        <f aca="false">MIN(0,MIN($C$40:L40))</f>
        <v>-235</v>
      </c>
      <c r="M41" s="10" t="n">
        <f aca="false">MIN(0,MIN($C$40:M40))</f>
        <v>-235</v>
      </c>
      <c r="N41" s="10" t="n">
        <f aca="false">MIN(0,MIN($C$40:N40))</f>
        <v>-235</v>
      </c>
    </row>
    <row r="42" customFormat="false" ht="15" hidden="false" customHeight="false" outlineLevel="0" collapsed="false">
      <c r="B42" s="2" t="s">
        <v>152</v>
      </c>
      <c r="C42" s="2" t="str">
        <f aca="false">IF(-C41&lt;=Inputs!$C$31,"ja","NEE")</f>
        <v>ja</v>
      </c>
      <c r="D42" s="2" t="str">
        <f aca="false">IF(-D41&lt;=Inputs!$C$31,"ja","NEE")</f>
        <v>ja</v>
      </c>
      <c r="E42" s="2" t="str">
        <f aca="false">IF(-E41&lt;=Inputs!$C$31,"ja","NEE")</f>
        <v>ja</v>
      </c>
      <c r="F42" s="2" t="str">
        <f aca="false">IF(-F41&lt;=Inputs!$C$31,"ja","NEE")</f>
        <v>ja</v>
      </c>
      <c r="G42" s="2" t="str">
        <f aca="false">IF(-G41&lt;=Inputs!$C$31,"ja","NEE")</f>
        <v>ja</v>
      </c>
      <c r="H42" s="2" t="str">
        <f aca="false">IF(-H41&lt;=Inputs!$C$31,"ja","NEE")</f>
        <v>ja</v>
      </c>
      <c r="I42" s="2" t="str">
        <f aca="false">IF(-I41&lt;=Inputs!$C$31,"ja","NEE")</f>
        <v>ja</v>
      </c>
      <c r="J42" s="2" t="str">
        <f aca="false">IF(-J41&lt;=Inputs!$C$31,"ja","NEE")</f>
        <v>ja</v>
      </c>
      <c r="K42" s="2" t="str">
        <f aca="false">IF(-K41&lt;=Inputs!$C$31,"ja","NEE")</f>
        <v>ja</v>
      </c>
      <c r="L42" s="2" t="str">
        <f aca="false">IF(-L41&lt;=Inputs!$C$31,"ja","NEE")</f>
        <v>ja</v>
      </c>
      <c r="M42" s="2" t="str">
        <f aca="false">IF(-M41&lt;=Inputs!$C$31,"ja","NEE")</f>
        <v>ja</v>
      </c>
      <c r="N42" s="2" t="str">
        <f aca="false">IF(-N41&lt;=Inputs!$C$31,"ja","NEE")</f>
        <v>ja</v>
      </c>
    </row>
    <row r="44" customFormat="false" ht="15" hidden="false" customHeight="false" outlineLevel="0" collapsed="false">
      <c r="B44" s="20" t="s">
        <v>153</v>
      </c>
    </row>
  </sheetData>
  <conditionalFormatting sqref="C15:O15">
    <cfRule type="cellIs" priority="2" operator="lessThan" aboveAverage="0" equalAverage="0" bottom="0" percent="0" rank="0" text="" dxfId="0">
      <formula>0</formula>
    </cfRule>
  </conditionalFormatting>
  <conditionalFormatting sqref="C26:O26">
    <cfRule type="cellIs" priority="3" operator="lessThan" aboveAverage="0" equalAverage="0" bottom="0" percent="0" rank="0" text="" dxfId="0">
      <formula>0</formula>
    </cfRule>
  </conditionalFormatting>
  <conditionalFormatting sqref="C34:O34">
    <cfRule type="cellIs" priority="4" operator="lessThan" aboveAverage="0" equalAverage="0" bottom="0" percent="0" rank="0" text="" dxfId="0">
      <formula>0</formula>
    </cfRule>
  </conditionalFormatting>
  <conditionalFormatting sqref="C35:O35">
    <cfRule type="cellIs" priority="5" operator="lessThan" aboveAverage="0" equalAverage="0" bottom="0" percent="0" rank="0" text="" dxfId="0">
      <formula>0</formula>
    </cfRule>
  </conditionalFormatting>
  <conditionalFormatting sqref="C36:O36">
    <cfRule type="cellIs" priority="6" operator="lessThan" aboveAverage="0" equalAverage="0" bottom="0" percent="0" rank="0" text="" dxfId="0">
      <formula>0</formula>
    </cfRule>
  </conditionalFormatting>
  <conditionalFormatting sqref="C40:O40">
    <cfRule type="cellIs" priority="7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5" min="3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B1" s="1" t="s">
        <v>154</v>
      </c>
    </row>
    <row r="2" customFormat="false" ht="15" hidden="false" customHeight="false" outlineLevel="0" collapsed="false">
      <c r="B2" s="20" t="s">
        <v>155</v>
      </c>
    </row>
    <row r="4" customFormat="false" ht="15" hidden="false" customHeight="false" outlineLevel="0" collapsed="false">
      <c r="B4" s="5" t="s">
        <v>156</v>
      </c>
      <c r="C4" s="5" t="s">
        <v>157</v>
      </c>
      <c r="D4" s="5" t="s">
        <v>158</v>
      </c>
      <c r="E4" s="5" t="s">
        <v>159</v>
      </c>
      <c r="F4" s="5" t="s">
        <v>160</v>
      </c>
    </row>
    <row r="5" customFormat="false" ht="26.85" hidden="false" customHeight="false" outlineLevel="0" collapsed="false">
      <c r="B5" s="2" t="s">
        <v>161</v>
      </c>
      <c r="C5" s="9" t="n">
        <v>3000</v>
      </c>
      <c r="D5" s="9" t="n">
        <v>4000</v>
      </c>
      <c r="E5" s="9" t="n">
        <v>6000</v>
      </c>
      <c r="F5" s="8" t="s">
        <v>162</v>
      </c>
    </row>
    <row r="6" customFormat="false" ht="26.85" hidden="false" customHeight="false" outlineLevel="0" collapsed="false">
      <c r="B6" s="2" t="s">
        <v>163</v>
      </c>
      <c r="C6" s="24" t="n">
        <v>0.2</v>
      </c>
      <c r="D6" s="24" t="n">
        <v>0.25</v>
      </c>
      <c r="E6" s="24" t="n">
        <v>0.3</v>
      </c>
      <c r="F6" s="8" t="s">
        <v>164</v>
      </c>
    </row>
    <row r="7" customFormat="false" ht="26.85" hidden="false" customHeight="false" outlineLevel="0" collapsed="false">
      <c r="B7" s="2" t="s">
        <v>165</v>
      </c>
      <c r="C7" s="24" t="n">
        <v>0.15</v>
      </c>
      <c r="D7" s="24" t="n">
        <v>0.2</v>
      </c>
      <c r="E7" s="24" t="n">
        <v>0.3</v>
      </c>
      <c r="F7" s="8" t="s">
        <v>166</v>
      </c>
    </row>
    <row r="8" customFormat="false" ht="15" hidden="false" customHeight="false" outlineLevel="0" collapsed="false">
      <c r="B8" s="2" t="s">
        <v>167</v>
      </c>
      <c r="C8" s="24" t="n">
        <v>0.3</v>
      </c>
      <c r="D8" s="24" t="n">
        <v>0.35</v>
      </c>
      <c r="E8" s="24" t="n">
        <v>0.4</v>
      </c>
      <c r="F8" s="8" t="s">
        <v>168</v>
      </c>
    </row>
    <row r="10" customFormat="false" ht="15" hidden="false" customHeight="false" outlineLevel="0" collapsed="false">
      <c r="B10" s="3" t="s">
        <v>169</v>
      </c>
      <c r="C10" s="10" t="n">
        <f aca="false">C5*C6</f>
        <v>600</v>
      </c>
      <c r="D10" s="10" t="n">
        <f aca="false">D5*D6</f>
        <v>1000</v>
      </c>
      <c r="E10" s="10" t="n">
        <f aca="false">E5*E6</f>
        <v>1800</v>
      </c>
    </row>
    <row r="11" customFormat="false" ht="15" hidden="false" customHeight="false" outlineLevel="0" collapsed="false">
      <c r="B11" s="3" t="s">
        <v>170</v>
      </c>
      <c r="C11" s="10" t="n">
        <f aca="false">C10*C7</f>
        <v>90</v>
      </c>
      <c r="D11" s="10" t="n">
        <f aca="false">D10*D7</f>
        <v>200</v>
      </c>
      <c r="E11" s="10" t="n">
        <f aca="false">E10*E7</f>
        <v>540</v>
      </c>
    </row>
    <row r="12" customFormat="false" ht="15" hidden="false" customHeight="false" outlineLevel="0" collapsed="false">
      <c r="B12" s="3" t="s">
        <v>171</v>
      </c>
      <c r="C12" s="18" t="n">
        <f aca="false">C11*C8</f>
        <v>27</v>
      </c>
      <c r="D12" s="18" t="n">
        <f aca="false">D11*D8</f>
        <v>70</v>
      </c>
      <c r="E12" s="18" t="n">
        <f aca="false">E11*E8</f>
        <v>216</v>
      </c>
    </row>
    <row r="13" customFormat="false" ht="15" hidden="false" customHeight="false" outlineLevel="0" collapsed="false">
      <c r="B13" s="3" t="s">
        <v>172</v>
      </c>
      <c r="C13" s="25" t="n">
        <f aca="false">C11/80</f>
        <v>1.125</v>
      </c>
      <c r="D13" s="25" t="n">
        <f aca="false">D11/80</f>
        <v>2.5</v>
      </c>
      <c r="E13" s="25" t="n">
        <f aca="false">E11/80</f>
        <v>6.75</v>
      </c>
    </row>
    <row r="15" customFormat="false" ht="26.85" hidden="false" customHeight="false" outlineLevel="0" collapsed="false">
      <c r="B15" s="5" t="s">
        <v>173</v>
      </c>
      <c r="C15" s="5" t="s">
        <v>174</v>
      </c>
      <c r="D15" s="5" t="s">
        <v>175</v>
      </c>
      <c r="E15" s="5" t="s">
        <v>176</v>
      </c>
      <c r="F15" s="5"/>
    </row>
    <row r="16" customFormat="false" ht="15" hidden="false" customHeight="false" outlineLevel="0" collapsed="false">
      <c r="B16" s="2" t="s">
        <v>177</v>
      </c>
      <c r="C16" s="7" t="n">
        <f aca="false">60/($D$10*$D$8)</f>
        <v>0.171428571428571</v>
      </c>
      <c r="D16" s="7" t="n">
        <f aca="false">80/($D$10*$D$8)</f>
        <v>0.228571428571429</v>
      </c>
      <c r="E16" s="7" t="n">
        <f aca="false">90/($D$10*$D$8)</f>
        <v>0.257142857142857</v>
      </c>
    </row>
    <row r="18" customFormat="false" ht="15" hidden="false" customHeight="false" outlineLevel="0" collapsed="false">
      <c r="B18" s="20" t="s">
        <v>178</v>
      </c>
    </row>
    <row r="19" customFormat="false" ht="15" hidden="false" customHeight="false" outlineLevel="0" collapsed="false">
      <c r="B19" s="20" t="s">
        <v>179</v>
      </c>
    </row>
    <row r="20" customFormat="false" ht="15" hidden="false" customHeight="false" outlineLevel="0" collapsed="false">
      <c r="B20" s="2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0" min="3" style="0" width="11"/>
  </cols>
  <sheetData>
    <row r="1" customFormat="false" ht="17.35" hidden="false" customHeight="false" outlineLevel="0" collapsed="false">
      <c r="B1" s="1" t="s">
        <v>181</v>
      </c>
    </row>
    <row r="2" customFormat="false" ht="15" hidden="false" customHeight="false" outlineLevel="0" collapsed="false">
      <c r="B2" s="20" t="s">
        <v>182</v>
      </c>
    </row>
    <row r="3" customFormat="false" ht="15" hidden="false" customHeight="false" outlineLevel="0" collapsed="false">
      <c r="B3" s="3" t="s">
        <v>183</v>
      </c>
      <c r="C3" s="17" t="n">
        <v>50</v>
      </c>
    </row>
    <row r="5" customFormat="false" ht="15" hidden="false" customHeight="false" outlineLevel="0" collapsed="false">
      <c r="B5" s="3" t="s">
        <v>184</v>
      </c>
      <c r="C5" s="11" t="n">
        <v>40</v>
      </c>
      <c r="D5" s="11" t="n">
        <v>50</v>
      </c>
      <c r="E5" s="11" t="n">
        <v>60</v>
      </c>
      <c r="F5" s="11" t="n">
        <v>70</v>
      </c>
      <c r="G5" s="11" t="n">
        <v>80</v>
      </c>
      <c r="H5" s="11" t="n">
        <v>90</v>
      </c>
      <c r="I5" s="11" t="n">
        <v>100</v>
      </c>
      <c r="J5" s="11" t="n">
        <v>120</v>
      </c>
    </row>
    <row r="6" customFormat="false" ht="15" hidden="false" customHeight="false" outlineLevel="0" collapsed="false">
      <c r="B6" s="11" t="n">
        <v>5</v>
      </c>
      <c r="C6" s="10" t="n">
        <f aca="false">$C$3*(Inputs!$F$6*Inputs!$F$7*(1-Inputs!$F$9)*C$5*(1-Inputs!$F$10)*(1-Inputs!$C$26)-'Unit economics'!$C$33-$B6)-'Unit economics'!$C$34</f>
        <v>-817.018293333333</v>
      </c>
      <c r="D6" s="10" t="n">
        <f aca="false">$C$3*(Inputs!$F$6*Inputs!$F$7*(1-Inputs!$F$9)*D$5*(1-Inputs!$F$10)*(1-Inputs!$C$26)-'Unit economics'!$C$33-$B6)-'Unit economics'!$C$34</f>
        <v>-587.314533333333</v>
      </c>
      <c r="E6" s="10" t="n">
        <f aca="false">$C$3*(Inputs!$F$6*Inputs!$F$7*(1-Inputs!$F$9)*E$5*(1-Inputs!$F$10)*(1-Inputs!$C$26)-'Unit economics'!$C$33-$B6)-'Unit economics'!$C$34</f>
        <v>-357.610773333333</v>
      </c>
      <c r="F6" s="10" t="n">
        <f aca="false">$C$3*(Inputs!$F$6*Inputs!$F$7*(1-Inputs!$F$9)*F$5*(1-Inputs!$F$10)*(1-Inputs!$C$26)-'Unit economics'!$C$33-$B6)-'Unit economics'!$C$34</f>
        <v>-127.907013333333</v>
      </c>
      <c r="G6" s="10" t="n">
        <f aca="false">$C$3*(Inputs!$F$6*Inputs!$F$7*(1-Inputs!$F$9)*G$5*(1-Inputs!$F$10)*(1-Inputs!$C$26)-'Unit economics'!$C$33-$B6)-'Unit economics'!$C$34</f>
        <v>101.796746666667</v>
      </c>
      <c r="H6" s="10" t="n">
        <f aca="false">$C$3*(Inputs!$F$6*Inputs!$F$7*(1-Inputs!$F$9)*H$5*(1-Inputs!$F$10)*(1-Inputs!$C$26)-'Unit economics'!$C$33-$B6)-'Unit economics'!$C$34</f>
        <v>331.500506666667</v>
      </c>
      <c r="I6" s="10" t="n">
        <f aca="false">$C$3*(Inputs!$F$6*Inputs!$F$7*(1-Inputs!$F$9)*I$5*(1-Inputs!$F$10)*(1-Inputs!$C$26)-'Unit economics'!$C$33-$B6)-'Unit economics'!$C$34</f>
        <v>561.204266666667</v>
      </c>
      <c r="J6" s="10" t="n">
        <f aca="false">$C$3*(Inputs!$F$6*Inputs!$F$7*(1-Inputs!$F$9)*J$5*(1-Inputs!$F$10)*(1-Inputs!$C$26)-'Unit economics'!$C$33-$B6)-'Unit economics'!$C$34</f>
        <v>1020.61178666667</v>
      </c>
    </row>
    <row r="7" customFormat="false" ht="15" hidden="false" customHeight="false" outlineLevel="0" collapsed="false">
      <c r="B7" s="11" t="n">
        <v>8</v>
      </c>
      <c r="C7" s="10" t="n">
        <f aca="false">$C$3*(Inputs!$F$6*Inputs!$F$7*(1-Inputs!$F$9)*C$5*(1-Inputs!$F$10)*(1-Inputs!$C$26)-'Unit economics'!$C$33-$B7)-'Unit economics'!$C$34</f>
        <v>-967.018293333333</v>
      </c>
      <c r="D7" s="10" t="n">
        <f aca="false">$C$3*(Inputs!$F$6*Inputs!$F$7*(1-Inputs!$F$9)*D$5*(1-Inputs!$F$10)*(1-Inputs!$C$26)-'Unit economics'!$C$33-$B7)-'Unit economics'!$C$34</f>
        <v>-737.314533333333</v>
      </c>
      <c r="E7" s="10" t="n">
        <f aca="false">$C$3*(Inputs!$F$6*Inputs!$F$7*(1-Inputs!$F$9)*E$5*(1-Inputs!$F$10)*(1-Inputs!$C$26)-'Unit economics'!$C$33-$B7)-'Unit economics'!$C$34</f>
        <v>-507.610773333333</v>
      </c>
      <c r="F7" s="10" t="n">
        <f aca="false">$C$3*(Inputs!$F$6*Inputs!$F$7*(1-Inputs!$F$9)*F$5*(1-Inputs!$F$10)*(1-Inputs!$C$26)-'Unit economics'!$C$33-$B7)-'Unit economics'!$C$34</f>
        <v>-277.907013333333</v>
      </c>
      <c r="G7" s="10" t="n">
        <f aca="false">$C$3*(Inputs!$F$6*Inputs!$F$7*(1-Inputs!$F$9)*G$5*(1-Inputs!$F$10)*(1-Inputs!$C$26)-'Unit economics'!$C$33-$B7)-'Unit economics'!$C$34</f>
        <v>-48.2032533333335</v>
      </c>
      <c r="H7" s="10" t="n">
        <f aca="false">$C$3*(Inputs!$F$6*Inputs!$F$7*(1-Inputs!$F$9)*H$5*(1-Inputs!$F$10)*(1-Inputs!$C$26)-'Unit economics'!$C$33-$B7)-'Unit economics'!$C$34</f>
        <v>181.500506666667</v>
      </c>
      <c r="I7" s="10" t="n">
        <f aca="false">$C$3*(Inputs!$F$6*Inputs!$F$7*(1-Inputs!$F$9)*I$5*(1-Inputs!$F$10)*(1-Inputs!$C$26)-'Unit economics'!$C$33-$B7)-'Unit economics'!$C$34</f>
        <v>411.204266666667</v>
      </c>
      <c r="J7" s="10" t="n">
        <f aca="false">$C$3*(Inputs!$F$6*Inputs!$F$7*(1-Inputs!$F$9)*J$5*(1-Inputs!$F$10)*(1-Inputs!$C$26)-'Unit economics'!$C$33-$B7)-'Unit economics'!$C$34</f>
        <v>870.611786666667</v>
      </c>
    </row>
    <row r="8" customFormat="false" ht="15" hidden="false" customHeight="false" outlineLevel="0" collapsed="false">
      <c r="B8" s="11" t="n">
        <v>10</v>
      </c>
      <c r="C8" s="10" t="n">
        <f aca="false">$C$3*(Inputs!$F$6*Inputs!$F$7*(1-Inputs!$F$9)*C$5*(1-Inputs!$F$10)*(1-Inputs!$C$26)-'Unit economics'!$C$33-$B8)-'Unit economics'!$C$34</f>
        <v>-1067.01829333333</v>
      </c>
      <c r="D8" s="10" t="n">
        <f aca="false">$C$3*(Inputs!$F$6*Inputs!$F$7*(1-Inputs!$F$9)*D$5*(1-Inputs!$F$10)*(1-Inputs!$C$26)-'Unit economics'!$C$33-$B8)-'Unit economics'!$C$34</f>
        <v>-837.314533333333</v>
      </c>
      <c r="E8" s="10" t="n">
        <f aca="false">$C$3*(Inputs!$F$6*Inputs!$F$7*(1-Inputs!$F$9)*E$5*(1-Inputs!$F$10)*(1-Inputs!$C$26)-'Unit economics'!$C$33-$B8)-'Unit economics'!$C$34</f>
        <v>-607.610773333333</v>
      </c>
      <c r="F8" s="10" t="n">
        <f aca="false">$C$3*(Inputs!$F$6*Inputs!$F$7*(1-Inputs!$F$9)*F$5*(1-Inputs!$F$10)*(1-Inputs!$C$26)-'Unit economics'!$C$33-$B8)-'Unit economics'!$C$34</f>
        <v>-377.907013333333</v>
      </c>
      <c r="G8" s="10" t="n">
        <f aca="false">$C$3*(Inputs!$F$6*Inputs!$F$7*(1-Inputs!$F$9)*G$5*(1-Inputs!$F$10)*(1-Inputs!$C$26)-'Unit economics'!$C$33-$B8)-'Unit economics'!$C$34</f>
        <v>-148.203253333333</v>
      </c>
      <c r="H8" s="10" t="n">
        <f aca="false">$C$3*(Inputs!$F$6*Inputs!$F$7*(1-Inputs!$F$9)*H$5*(1-Inputs!$F$10)*(1-Inputs!$C$26)-'Unit economics'!$C$33-$B8)-'Unit economics'!$C$34</f>
        <v>81.5005066666669</v>
      </c>
      <c r="I8" s="10" t="n">
        <f aca="false">$C$3*(Inputs!$F$6*Inputs!$F$7*(1-Inputs!$F$9)*I$5*(1-Inputs!$F$10)*(1-Inputs!$C$26)-'Unit economics'!$C$33-$B8)-'Unit economics'!$C$34</f>
        <v>311.204266666667</v>
      </c>
      <c r="J8" s="10" t="n">
        <f aca="false">$C$3*(Inputs!$F$6*Inputs!$F$7*(1-Inputs!$F$9)*J$5*(1-Inputs!$F$10)*(1-Inputs!$C$26)-'Unit economics'!$C$33-$B8)-'Unit economics'!$C$34</f>
        <v>770.611786666667</v>
      </c>
    </row>
    <row r="9" customFormat="false" ht="15" hidden="false" customHeight="false" outlineLevel="0" collapsed="false">
      <c r="B9" s="11" t="n">
        <v>12</v>
      </c>
      <c r="C9" s="10" t="n">
        <f aca="false">$C$3*(Inputs!$F$6*Inputs!$F$7*(1-Inputs!$F$9)*C$5*(1-Inputs!$F$10)*(1-Inputs!$C$26)-'Unit economics'!$C$33-$B9)-'Unit economics'!$C$34</f>
        <v>-1167.01829333333</v>
      </c>
      <c r="D9" s="10" t="n">
        <f aca="false">$C$3*(Inputs!$F$6*Inputs!$F$7*(1-Inputs!$F$9)*D$5*(1-Inputs!$F$10)*(1-Inputs!$C$26)-'Unit economics'!$C$33-$B9)-'Unit economics'!$C$34</f>
        <v>-937.314533333333</v>
      </c>
      <c r="E9" s="10" t="n">
        <f aca="false">$C$3*(Inputs!$F$6*Inputs!$F$7*(1-Inputs!$F$9)*E$5*(1-Inputs!$F$10)*(1-Inputs!$C$26)-'Unit economics'!$C$33-$B9)-'Unit economics'!$C$34</f>
        <v>-707.610773333333</v>
      </c>
      <c r="F9" s="10" t="n">
        <f aca="false">$C$3*(Inputs!$F$6*Inputs!$F$7*(1-Inputs!$F$9)*F$5*(1-Inputs!$F$10)*(1-Inputs!$C$26)-'Unit economics'!$C$33-$B9)-'Unit economics'!$C$34</f>
        <v>-477.907013333333</v>
      </c>
      <c r="G9" s="10" t="n">
        <f aca="false">$C$3*(Inputs!$F$6*Inputs!$F$7*(1-Inputs!$F$9)*G$5*(1-Inputs!$F$10)*(1-Inputs!$C$26)-'Unit economics'!$C$33-$B9)-'Unit economics'!$C$34</f>
        <v>-248.203253333333</v>
      </c>
      <c r="H9" s="10" t="n">
        <f aca="false">$C$3*(Inputs!$F$6*Inputs!$F$7*(1-Inputs!$F$9)*H$5*(1-Inputs!$F$10)*(1-Inputs!$C$26)-'Unit economics'!$C$33-$B9)-'Unit economics'!$C$34</f>
        <v>-18.4994933333331</v>
      </c>
      <c r="I9" s="10" t="n">
        <f aca="false">$C$3*(Inputs!$F$6*Inputs!$F$7*(1-Inputs!$F$9)*I$5*(1-Inputs!$F$10)*(1-Inputs!$C$26)-'Unit economics'!$C$33-$B9)-'Unit economics'!$C$34</f>
        <v>211.204266666667</v>
      </c>
      <c r="J9" s="10" t="n">
        <f aca="false">$C$3*(Inputs!$F$6*Inputs!$F$7*(1-Inputs!$F$9)*J$5*(1-Inputs!$F$10)*(1-Inputs!$C$26)-'Unit economics'!$C$33-$B9)-'Unit economics'!$C$34</f>
        <v>670.611786666667</v>
      </c>
    </row>
    <row r="10" customFormat="false" ht="15" hidden="false" customHeight="false" outlineLevel="0" collapsed="false">
      <c r="B10" s="11" t="n">
        <v>15</v>
      </c>
      <c r="C10" s="10" t="n">
        <f aca="false">$C$3*(Inputs!$F$6*Inputs!$F$7*(1-Inputs!$F$9)*C$5*(1-Inputs!$F$10)*(1-Inputs!$C$26)-'Unit economics'!$C$33-$B10)-'Unit economics'!$C$34</f>
        <v>-1317.01829333333</v>
      </c>
      <c r="D10" s="10" t="n">
        <f aca="false">$C$3*(Inputs!$F$6*Inputs!$F$7*(1-Inputs!$F$9)*D$5*(1-Inputs!$F$10)*(1-Inputs!$C$26)-'Unit economics'!$C$33-$B10)-'Unit economics'!$C$34</f>
        <v>-1087.31453333333</v>
      </c>
      <c r="E10" s="10" t="n">
        <f aca="false">$C$3*(Inputs!$F$6*Inputs!$F$7*(1-Inputs!$F$9)*E$5*(1-Inputs!$F$10)*(1-Inputs!$C$26)-'Unit economics'!$C$33-$B10)-'Unit economics'!$C$34</f>
        <v>-857.610773333333</v>
      </c>
      <c r="F10" s="10" t="n">
        <f aca="false">$C$3*(Inputs!$F$6*Inputs!$F$7*(1-Inputs!$F$9)*F$5*(1-Inputs!$F$10)*(1-Inputs!$C$26)-'Unit economics'!$C$33-$B10)-'Unit economics'!$C$34</f>
        <v>-627.907013333333</v>
      </c>
      <c r="G10" s="10" t="n">
        <f aca="false">$C$3*(Inputs!$F$6*Inputs!$F$7*(1-Inputs!$F$9)*G$5*(1-Inputs!$F$10)*(1-Inputs!$C$26)-'Unit economics'!$C$33-$B10)-'Unit economics'!$C$34</f>
        <v>-398.203253333333</v>
      </c>
      <c r="H10" s="10" t="n">
        <f aca="false">$C$3*(Inputs!$F$6*Inputs!$F$7*(1-Inputs!$F$9)*H$5*(1-Inputs!$F$10)*(1-Inputs!$C$26)-'Unit economics'!$C$33-$B10)-'Unit economics'!$C$34</f>
        <v>-168.499493333333</v>
      </c>
      <c r="I10" s="10" t="n">
        <f aca="false">$C$3*(Inputs!$F$6*Inputs!$F$7*(1-Inputs!$F$9)*I$5*(1-Inputs!$F$10)*(1-Inputs!$C$26)-'Unit economics'!$C$33-$B10)-'Unit economics'!$C$34</f>
        <v>61.2042666666667</v>
      </c>
      <c r="J10" s="10" t="n">
        <f aca="false">$C$3*(Inputs!$F$6*Inputs!$F$7*(1-Inputs!$F$9)*J$5*(1-Inputs!$F$10)*(1-Inputs!$C$26)-'Unit economics'!$C$33-$B10)-'Unit economics'!$C$34</f>
        <v>520.611786666667</v>
      </c>
    </row>
    <row r="11" customFormat="false" ht="15" hidden="false" customHeight="false" outlineLevel="0" collapsed="false">
      <c r="B11" s="11" t="n">
        <v>18</v>
      </c>
      <c r="C11" s="10" t="n">
        <f aca="false">$C$3*(Inputs!$F$6*Inputs!$F$7*(1-Inputs!$F$9)*C$5*(1-Inputs!$F$10)*(1-Inputs!$C$26)-'Unit economics'!$C$33-$B11)-'Unit economics'!$C$34</f>
        <v>-1467.01829333333</v>
      </c>
      <c r="D11" s="10" t="n">
        <f aca="false">$C$3*(Inputs!$F$6*Inputs!$F$7*(1-Inputs!$F$9)*D$5*(1-Inputs!$F$10)*(1-Inputs!$C$26)-'Unit economics'!$C$33-$B11)-'Unit economics'!$C$34</f>
        <v>-1237.31453333333</v>
      </c>
      <c r="E11" s="10" t="n">
        <f aca="false">$C$3*(Inputs!$F$6*Inputs!$F$7*(1-Inputs!$F$9)*E$5*(1-Inputs!$F$10)*(1-Inputs!$C$26)-'Unit economics'!$C$33-$B11)-'Unit economics'!$C$34</f>
        <v>-1007.61077333333</v>
      </c>
      <c r="F11" s="10" t="n">
        <f aca="false">$C$3*(Inputs!$F$6*Inputs!$F$7*(1-Inputs!$F$9)*F$5*(1-Inputs!$F$10)*(1-Inputs!$C$26)-'Unit economics'!$C$33-$B11)-'Unit economics'!$C$34</f>
        <v>-777.907013333333</v>
      </c>
      <c r="G11" s="10" t="n">
        <f aca="false">$C$3*(Inputs!$F$6*Inputs!$F$7*(1-Inputs!$F$9)*G$5*(1-Inputs!$F$10)*(1-Inputs!$C$26)-'Unit economics'!$C$33-$B11)-'Unit economics'!$C$34</f>
        <v>-548.203253333334</v>
      </c>
      <c r="H11" s="10" t="n">
        <f aca="false">$C$3*(Inputs!$F$6*Inputs!$F$7*(1-Inputs!$F$9)*H$5*(1-Inputs!$F$10)*(1-Inputs!$C$26)-'Unit economics'!$C$33-$B11)-'Unit economics'!$C$34</f>
        <v>-318.499493333333</v>
      </c>
      <c r="I11" s="10" t="n">
        <f aca="false">$C$3*(Inputs!$F$6*Inputs!$F$7*(1-Inputs!$F$9)*I$5*(1-Inputs!$F$10)*(1-Inputs!$C$26)-'Unit economics'!$C$33-$B11)-'Unit economics'!$C$34</f>
        <v>-88.7957333333333</v>
      </c>
      <c r="J11" s="10" t="n">
        <f aca="false">$C$3*(Inputs!$F$6*Inputs!$F$7*(1-Inputs!$F$9)*J$5*(1-Inputs!$F$10)*(1-Inputs!$C$26)-'Unit economics'!$C$33-$B11)-'Unit economics'!$C$34</f>
        <v>370.611786666667</v>
      </c>
    </row>
    <row r="12" customFormat="false" ht="15" hidden="false" customHeight="false" outlineLevel="0" collapsed="false">
      <c r="B12" s="11" t="n">
        <v>22</v>
      </c>
      <c r="C12" s="10" t="n">
        <f aca="false">$C$3*(Inputs!$F$6*Inputs!$F$7*(1-Inputs!$F$9)*C$5*(1-Inputs!$F$10)*(1-Inputs!$C$26)-'Unit economics'!$C$33-$B12)-'Unit economics'!$C$34</f>
        <v>-1667.01829333333</v>
      </c>
      <c r="D12" s="10" t="n">
        <f aca="false">$C$3*(Inputs!$F$6*Inputs!$F$7*(1-Inputs!$F$9)*D$5*(1-Inputs!$F$10)*(1-Inputs!$C$26)-'Unit economics'!$C$33-$B12)-'Unit economics'!$C$34</f>
        <v>-1437.31453333333</v>
      </c>
      <c r="E12" s="10" t="n">
        <f aca="false">$C$3*(Inputs!$F$6*Inputs!$F$7*(1-Inputs!$F$9)*E$5*(1-Inputs!$F$10)*(1-Inputs!$C$26)-'Unit economics'!$C$33-$B12)-'Unit economics'!$C$34</f>
        <v>-1207.61077333333</v>
      </c>
      <c r="F12" s="10" t="n">
        <f aca="false">$C$3*(Inputs!$F$6*Inputs!$F$7*(1-Inputs!$F$9)*F$5*(1-Inputs!$F$10)*(1-Inputs!$C$26)-'Unit economics'!$C$33-$B12)-'Unit economics'!$C$34</f>
        <v>-977.907013333333</v>
      </c>
      <c r="G12" s="10" t="n">
        <f aca="false">$C$3*(Inputs!$F$6*Inputs!$F$7*(1-Inputs!$F$9)*G$5*(1-Inputs!$F$10)*(1-Inputs!$C$26)-'Unit economics'!$C$33-$B12)-'Unit economics'!$C$34</f>
        <v>-748.203253333334</v>
      </c>
      <c r="H12" s="10" t="n">
        <f aca="false">$C$3*(Inputs!$F$6*Inputs!$F$7*(1-Inputs!$F$9)*H$5*(1-Inputs!$F$10)*(1-Inputs!$C$26)-'Unit economics'!$C$33-$B12)-'Unit economics'!$C$34</f>
        <v>-518.499493333333</v>
      </c>
      <c r="I12" s="10" t="n">
        <f aca="false">$C$3*(Inputs!$F$6*Inputs!$F$7*(1-Inputs!$F$9)*I$5*(1-Inputs!$F$10)*(1-Inputs!$C$26)-'Unit economics'!$C$33-$B12)-'Unit economics'!$C$34</f>
        <v>-288.795733333333</v>
      </c>
      <c r="J12" s="10" t="n">
        <f aca="false">$C$3*(Inputs!$F$6*Inputs!$F$7*(1-Inputs!$F$9)*J$5*(1-Inputs!$F$10)*(1-Inputs!$C$26)-'Unit economics'!$C$33-$B12)-'Unit economics'!$C$34</f>
        <v>170.611786666667</v>
      </c>
    </row>
    <row r="13" customFormat="false" ht="15" hidden="false" customHeight="false" outlineLevel="0" collapsed="false">
      <c r="B13" s="11" t="n">
        <v>30</v>
      </c>
      <c r="C13" s="10" t="n">
        <f aca="false">$C$3*(Inputs!$F$6*Inputs!$F$7*(1-Inputs!$F$9)*C$5*(1-Inputs!$F$10)*(1-Inputs!$C$26)-'Unit economics'!$C$33-$B13)-'Unit economics'!$C$34</f>
        <v>-2067.01829333333</v>
      </c>
      <c r="D13" s="10" t="n">
        <f aca="false">$C$3*(Inputs!$F$6*Inputs!$F$7*(1-Inputs!$F$9)*D$5*(1-Inputs!$F$10)*(1-Inputs!$C$26)-'Unit economics'!$C$33-$B13)-'Unit economics'!$C$34</f>
        <v>-1837.31453333333</v>
      </c>
      <c r="E13" s="10" t="n">
        <f aca="false">$C$3*(Inputs!$F$6*Inputs!$F$7*(1-Inputs!$F$9)*E$5*(1-Inputs!$F$10)*(1-Inputs!$C$26)-'Unit economics'!$C$33-$B13)-'Unit economics'!$C$34</f>
        <v>-1607.61077333333</v>
      </c>
      <c r="F13" s="10" t="n">
        <f aca="false">$C$3*(Inputs!$F$6*Inputs!$F$7*(1-Inputs!$F$9)*F$5*(1-Inputs!$F$10)*(1-Inputs!$C$26)-'Unit economics'!$C$33-$B13)-'Unit economics'!$C$34</f>
        <v>-1377.90701333333</v>
      </c>
      <c r="G13" s="10" t="n">
        <f aca="false">$C$3*(Inputs!$F$6*Inputs!$F$7*(1-Inputs!$F$9)*G$5*(1-Inputs!$F$10)*(1-Inputs!$C$26)-'Unit economics'!$C$33-$B13)-'Unit economics'!$C$34</f>
        <v>-1148.20325333333</v>
      </c>
      <c r="H13" s="10" t="n">
        <f aca="false">$C$3*(Inputs!$F$6*Inputs!$F$7*(1-Inputs!$F$9)*H$5*(1-Inputs!$F$10)*(1-Inputs!$C$26)-'Unit economics'!$C$33-$B13)-'Unit economics'!$C$34</f>
        <v>-918.499493333333</v>
      </c>
      <c r="I13" s="10" t="n">
        <f aca="false">$C$3*(Inputs!$F$6*Inputs!$F$7*(1-Inputs!$F$9)*I$5*(1-Inputs!$F$10)*(1-Inputs!$C$26)-'Unit economics'!$C$33-$B13)-'Unit economics'!$C$34</f>
        <v>-688.795733333333</v>
      </c>
      <c r="J13" s="10" t="n">
        <f aca="false">$C$3*(Inputs!$F$6*Inputs!$F$7*(1-Inputs!$F$9)*J$5*(1-Inputs!$F$10)*(1-Inputs!$C$26)-'Unit economics'!$C$33-$B13)-'Unit economics'!$C$34</f>
        <v>-229.388213333333</v>
      </c>
    </row>
    <row r="14" customFormat="false" ht="15" hidden="false" customHeight="false" outlineLevel="0" collapsed="false">
      <c r="B14" s="11" t="n">
        <v>40</v>
      </c>
      <c r="C14" s="10" t="n">
        <f aca="false">$C$3*(Inputs!$F$6*Inputs!$F$7*(1-Inputs!$F$9)*C$5*(1-Inputs!$F$10)*(1-Inputs!$C$26)-'Unit economics'!$C$33-$B14)-'Unit economics'!$C$34</f>
        <v>-2567.01829333333</v>
      </c>
      <c r="D14" s="10" t="n">
        <f aca="false">$C$3*(Inputs!$F$6*Inputs!$F$7*(1-Inputs!$F$9)*D$5*(1-Inputs!$F$10)*(1-Inputs!$C$26)-'Unit economics'!$C$33-$B14)-'Unit economics'!$C$34</f>
        <v>-2337.31453333333</v>
      </c>
      <c r="E14" s="10" t="n">
        <f aca="false">$C$3*(Inputs!$F$6*Inputs!$F$7*(1-Inputs!$F$9)*E$5*(1-Inputs!$F$10)*(1-Inputs!$C$26)-'Unit economics'!$C$33-$B14)-'Unit economics'!$C$34</f>
        <v>-2107.61077333333</v>
      </c>
      <c r="F14" s="10" t="n">
        <f aca="false">$C$3*(Inputs!$F$6*Inputs!$F$7*(1-Inputs!$F$9)*F$5*(1-Inputs!$F$10)*(1-Inputs!$C$26)-'Unit economics'!$C$33-$B14)-'Unit economics'!$C$34</f>
        <v>-1877.90701333333</v>
      </c>
      <c r="G14" s="10" t="n">
        <f aca="false">$C$3*(Inputs!$F$6*Inputs!$F$7*(1-Inputs!$F$9)*G$5*(1-Inputs!$F$10)*(1-Inputs!$C$26)-'Unit economics'!$C$33-$B14)-'Unit economics'!$C$34</f>
        <v>-1648.20325333333</v>
      </c>
      <c r="H14" s="10" t="n">
        <f aca="false">$C$3*(Inputs!$F$6*Inputs!$F$7*(1-Inputs!$F$9)*H$5*(1-Inputs!$F$10)*(1-Inputs!$C$26)-'Unit economics'!$C$33-$B14)-'Unit economics'!$C$34</f>
        <v>-1418.49949333333</v>
      </c>
      <c r="I14" s="10" t="n">
        <f aca="false">$C$3*(Inputs!$F$6*Inputs!$F$7*(1-Inputs!$F$9)*I$5*(1-Inputs!$F$10)*(1-Inputs!$C$26)-'Unit economics'!$C$33-$B14)-'Unit economics'!$C$34</f>
        <v>-1188.79573333333</v>
      </c>
      <c r="J14" s="10" t="n">
        <f aca="false">$C$3*(Inputs!$F$6*Inputs!$F$7*(1-Inputs!$F$9)*J$5*(1-Inputs!$F$10)*(1-Inputs!$C$26)-'Unit economics'!$C$33-$B14)-'Unit economics'!$C$34</f>
        <v>-729.388213333333</v>
      </c>
    </row>
    <row r="16" customFormat="false" ht="15" hidden="false" customHeight="false" outlineLevel="0" collapsed="false">
      <c r="B16" s="20" t="s">
        <v>185</v>
      </c>
    </row>
  </sheetData>
  <conditionalFormatting sqref="C6:J14">
    <cfRule type="cellIs" priority="2" operator="lessThan" aboveAverage="0" equalAverage="0" bottom="0" percent="0" rank="0" text="" dxfId="1">
      <formula>0</formula>
    </cfRule>
    <cfRule type="cellIs" priority="3" operator="greaterThanOr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5" min="3" style="0" width="2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B1" s="1" t="s">
        <v>186</v>
      </c>
    </row>
    <row r="2" customFormat="false" ht="15" hidden="false" customHeight="false" outlineLevel="0" collapsed="false">
      <c r="B2" s="20" t="s">
        <v>187</v>
      </c>
    </row>
    <row r="4" customFormat="false" ht="15" hidden="false" customHeight="false" outlineLevel="0" collapsed="false">
      <c r="B4" s="5" t="s">
        <v>188</v>
      </c>
      <c r="C4" s="5" t="s">
        <v>189</v>
      </c>
      <c r="D4" s="5" t="s">
        <v>190</v>
      </c>
      <c r="E4" s="5" t="s">
        <v>191</v>
      </c>
      <c r="F4" s="5" t="s">
        <v>192</v>
      </c>
      <c r="G4" s="5" t="s">
        <v>193</v>
      </c>
    </row>
    <row r="5" customFormat="false" ht="26.85" hidden="false" customHeight="false" outlineLevel="0" collapsed="false">
      <c r="B5" s="8" t="s">
        <v>194</v>
      </c>
      <c r="C5" s="2" t="s">
        <v>195</v>
      </c>
      <c r="D5" s="2" t="s">
        <v>196</v>
      </c>
      <c r="E5" s="2" t="s">
        <v>197</v>
      </c>
      <c r="F5" s="9"/>
      <c r="G5" s="3" t="str">
        <f aca="false">IF(F5="","",IF(F5&gt;=3,"doorgaan",IF(F5&gt;=2,"bijsturen","stoppen")))</f>
        <v/>
      </c>
    </row>
    <row r="6" customFormat="false" ht="26.85" hidden="false" customHeight="false" outlineLevel="0" collapsed="false">
      <c r="B6" s="8" t="s">
        <v>198</v>
      </c>
      <c r="C6" s="2" t="s">
        <v>199</v>
      </c>
      <c r="D6" s="2" t="s">
        <v>200</v>
      </c>
      <c r="E6" s="2" t="s">
        <v>201</v>
      </c>
      <c r="F6" s="9"/>
      <c r="G6" s="3" t="str">
        <f aca="false">IF(F6="","",IF(F6&gt;=80,"doorgaan",IF(F6&gt;=60,"bijsturen","stoppen")))</f>
        <v/>
      </c>
    </row>
    <row r="7" customFormat="false" ht="15" hidden="false" customHeight="false" outlineLevel="0" collapsed="false">
      <c r="B7" s="8" t="s">
        <v>202</v>
      </c>
      <c r="C7" s="2" t="s">
        <v>203</v>
      </c>
      <c r="D7" s="2" t="s">
        <v>204</v>
      </c>
      <c r="E7" s="2" t="s">
        <v>205</v>
      </c>
      <c r="F7" s="9"/>
      <c r="G7" s="3" t="str">
        <f aca="false">IF(F7="","",IF(F7&lt;=15,"doorgaan",IF(F7&lt;=25,"bijsturen","stoppen")))</f>
        <v/>
      </c>
    </row>
    <row r="8" customFormat="false" ht="15" hidden="false" customHeight="false" outlineLevel="0" collapsed="false">
      <c r="B8" s="8" t="s">
        <v>81</v>
      </c>
      <c r="C8" s="2" t="s">
        <v>206</v>
      </c>
      <c r="D8" s="2" t="s">
        <v>207</v>
      </c>
      <c r="E8" s="2" t="s">
        <v>208</v>
      </c>
      <c r="F8" s="24"/>
      <c r="G8" s="3" t="str">
        <f aca="false">IF(F8="","",IF(F8&gt;=0.65,"doorgaan",IF(F8&gt;=0.5,"bijsturen","stoppen")))</f>
        <v/>
      </c>
    </row>
    <row r="9" customFormat="false" ht="15" hidden="false" customHeight="false" outlineLevel="0" collapsed="false">
      <c r="B9" s="8" t="s">
        <v>209</v>
      </c>
      <c r="C9" s="2" t="s">
        <v>210</v>
      </c>
      <c r="D9" s="2" t="s">
        <v>211</v>
      </c>
      <c r="E9" s="2" t="s">
        <v>208</v>
      </c>
      <c r="F9" s="24"/>
      <c r="G9" s="3" t="str">
        <f aca="false">IF(F9="","",IF(F9&gt;=0.75,"doorgaan",IF(F9&gt;=0.5,"bijsturen","stoppen")))</f>
        <v/>
      </c>
    </row>
    <row r="10" customFormat="false" ht="15" hidden="false" customHeight="false" outlineLevel="0" collapsed="false">
      <c r="B10" s="8" t="s">
        <v>212</v>
      </c>
      <c r="C10" s="2" t="s">
        <v>213</v>
      </c>
      <c r="D10" s="2" t="s">
        <v>214</v>
      </c>
      <c r="E10" s="2" t="s">
        <v>215</v>
      </c>
      <c r="F10" s="24"/>
      <c r="G10" s="3" t="str">
        <f aca="false">IF(F10="","",IF(F10&lt;=0.1,"doorgaan",IF(F10&lt;=0.2,"bijsturen","stoppen")))</f>
        <v/>
      </c>
    </row>
    <row r="11" customFormat="false" ht="26.85" hidden="false" customHeight="false" outlineLevel="0" collapsed="false">
      <c r="B11" s="8" t="s">
        <v>216</v>
      </c>
      <c r="C11" s="2" t="s">
        <v>217</v>
      </c>
      <c r="D11" s="2" t="s">
        <v>218</v>
      </c>
      <c r="E11" s="2" t="s">
        <v>219</v>
      </c>
      <c r="F11" s="17"/>
      <c r="G11" s="3" t="str">
        <f aca="false">IF(F11="","",IF(F11&gt;=2,"doorgaan",IF(F11&gt;=1,"bijsturen","stoppen")))</f>
        <v/>
      </c>
    </row>
    <row r="12" customFormat="false" ht="26.85" hidden="false" customHeight="false" outlineLevel="0" collapsed="false">
      <c r="B12" s="8" t="s">
        <v>220</v>
      </c>
      <c r="C12" s="2" t="s">
        <v>221</v>
      </c>
      <c r="D12" s="2" t="s">
        <v>222</v>
      </c>
      <c r="E12" s="2" t="s">
        <v>223</v>
      </c>
      <c r="F12" s="26" t="n">
        <f aca="false">'Unit economics'!D26</f>
        <v>-428.86992</v>
      </c>
      <c r="G12" s="3" t="str">
        <f aca="false">IF(F12="","",IF(F12&gt;=0,"doorgaan",IF(F12&gt;=-500,"bijsturen","stoppen")))</f>
        <v>bijsturen</v>
      </c>
    </row>
    <row r="14" customFormat="false" ht="15" hidden="false" customHeight="false" outlineLevel="0" collapsed="false">
      <c r="B14" s="20" t="s">
        <v>224</v>
      </c>
    </row>
    <row r="15" customFormat="false" ht="15" hidden="false" customHeight="false" outlineLevel="0" collapsed="false">
      <c r="B15" s="2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1" t="s">
        <v>226</v>
      </c>
    </row>
    <row r="3" customFormat="false" ht="15" hidden="false" customHeight="false" outlineLevel="0" collapsed="false">
      <c r="B3" s="5" t="s">
        <v>227</v>
      </c>
      <c r="C3" s="5" t="s">
        <v>228</v>
      </c>
      <c r="D3" s="5" t="s">
        <v>229</v>
      </c>
    </row>
    <row r="4" customFormat="false" ht="15" hidden="false" customHeight="false" outlineLevel="0" collapsed="false">
      <c r="B4" s="2" t="s">
        <v>230</v>
      </c>
      <c r="C4" s="11" t="n">
        <v>350</v>
      </c>
      <c r="D4" s="2" t="s">
        <v>231</v>
      </c>
    </row>
    <row r="5" customFormat="false" ht="15" hidden="false" customHeight="false" outlineLevel="0" collapsed="false">
      <c r="B5" s="2" t="s">
        <v>232</v>
      </c>
      <c r="C5" s="11" t="n">
        <v>400</v>
      </c>
      <c r="D5" s="2" t="s">
        <v>233</v>
      </c>
    </row>
    <row r="6" customFormat="false" ht="15" hidden="false" customHeight="false" outlineLevel="0" collapsed="false">
      <c r="B6" s="2" t="s">
        <v>234</v>
      </c>
      <c r="C6" s="11" t="n">
        <v>150</v>
      </c>
      <c r="D6" s="2" t="s">
        <v>235</v>
      </c>
    </row>
    <row r="7" customFormat="false" ht="15" hidden="false" customHeight="false" outlineLevel="0" collapsed="false">
      <c r="B7" s="2" t="s">
        <v>236</v>
      </c>
      <c r="C7" s="11" t="n">
        <v>70</v>
      </c>
      <c r="D7" s="2" t="s">
        <v>237</v>
      </c>
    </row>
    <row r="8" customFormat="false" ht="15" hidden="false" customHeight="false" outlineLevel="0" collapsed="false">
      <c r="B8" s="2" t="s">
        <v>238</v>
      </c>
      <c r="C8" s="11" t="n">
        <v>30</v>
      </c>
      <c r="D8" s="2"/>
    </row>
    <row r="9" customFormat="false" ht="15" hidden="false" customHeight="false" outlineLevel="0" collapsed="false">
      <c r="B9" s="3" t="s">
        <v>139</v>
      </c>
      <c r="C9" s="18" t="n">
        <f aca="false">SUM(C4:C8)</f>
        <v>1000</v>
      </c>
    </row>
    <row r="10" customFormat="false" ht="15" hidden="false" customHeight="false" outlineLevel="0" collapsed="false">
      <c r="B10" s="3" t="s">
        <v>239</v>
      </c>
      <c r="C10" s="2" t="str">
        <f aca="false">IF(C9&lt;=Inputs!$C$32,"ja","NEE")</f>
        <v>ja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2026-10-23T01:27:32Z</dcterms:created>
  <dc:creator>openpyxl</dc:creator>
  <dc:description/>
  <dc:language>en-US</dc:language>
  <cp:lastModifiedBy/>
  <dcterms:modified xsi:type="dcterms:W3CDTF">2026-10-23T01:27:32Z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